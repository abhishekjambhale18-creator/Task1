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xcelLab\"/>
    </mc:Choice>
  </mc:AlternateContent>
  <xr:revisionPtr revIDLastSave="0" documentId="13_ncr:1_{837E7AD2-7F9E-4953-AFEC-A7DCDA2DA9E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tudent Records" sheetId="1" r:id="rId1"/>
    <sheet name="Q1" sheetId="3" r:id="rId2"/>
    <sheet name="Q2" sheetId="4" r:id="rId3"/>
    <sheet name="Q3" sheetId="5" r:id="rId4"/>
    <sheet name="Q4" sheetId="6" r:id="rId5"/>
    <sheet name="Q5" sheetId="7" r:id="rId6"/>
    <sheet name="Q6" sheetId="8" r:id="rId7"/>
    <sheet name="Q7" sheetId="9" r:id="rId8"/>
    <sheet name="Q8" sheetId="10" r:id="rId9"/>
    <sheet name="Q9" sheetId="11" r:id="rId10"/>
    <sheet name="Q10" sheetId="12" r:id="rId11"/>
  </sheets>
  <calcPr calcId="191029"/>
</workbook>
</file>

<file path=xl/calcChain.xml><?xml version="1.0" encoding="utf-8"?>
<calcChain xmlns="http://schemas.openxmlformats.org/spreadsheetml/2006/main">
  <c r="J2" i="9" l="1"/>
  <c r="J3" i="9"/>
  <c r="J4" i="9"/>
  <c r="J5" i="9"/>
  <c r="J6" i="9"/>
  <c r="J7" i="9"/>
  <c r="J8" i="9"/>
  <c r="J9" i="9"/>
  <c r="J2" i="11"/>
  <c r="J3" i="11"/>
  <c r="J4" i="11"/>
  <c r="J5" i="11"/>
  <c r="J6" i="11"/>
  <c r="J7" i="11"/>
  <c r="J8" i="11"/>
  <c r="J9" i="11"/>
  <c r="J2" i="12"/>
  <c r="J3" i="12"/>
  <c r="J4" i="12"/>
  <c r="J5" i="12"/>
  <c r="J6" i="12"/>
  <c r="J7" i="12"/>
  <c r="J8" i="12"/>
  <c r="J9" i="12"/>
  <c r="J2" i="7"/>
  <c r="J3" i="7"/>
  <c r="J4" i="7"/>
  <c r="J5" i="7"/>
  <c r="J6" i="7"/>
  <c r="J7" i="7"/>
  <c r="J8" i="7"/>
  <c r="J9" i="7"/>
  <c r="J2" i="5"/>
  <c r="J3" i="5"/>
  <c r="J4" i="5"/>
  <c r="J5" i="5"/>
  <c r="J6" i="5"/>
  <c r="J7" i="5"/>
  <c r="J8" i="5"/>
  <c r="J9" i="5"/>
  <c r="J2" i="4"/>
  <c r="J2" i="10"/>
  <c r="J3" i="10"/>
  <c r="J4" i="10"/>
  <c r="J5" i="10"/>
  <c r="J6" i="10"/>
  <c r="J7" i="10"/>
  <c r="J8" i="10"/>
  <c r="J9" i="10"/>
  <c r="J2" i="8"/>
  <c r="J3" i="8"/>
  <c r="J4" i="8"/>
  <c r="J5" i="8"/>
  <c r="J6" i="8"/>
  <c r="J7" i="8"/>
  <c r="J8" i="8"/>
  <c r="J9" i="8"/>
  <c r="J2" i="6"/>
  <c r="J3" i="6"/>
  <c r="J4" i="6"/>
  <c r="J5" i="6"/>
  <c r="J6" i="6"/>
  <c r="J7" i="6"/>
  <c r="J8" i="6"/>
  <c r="J9" i="6"/>
  <c r="J3" i="4"/>
  <c r="J4" i="4"/>
  <c r="J5" i="4"/>
  <c r="J6" i="4"/>
  <c r="J7" i="4"/>
  <c r="J8" i="4"/>
  <c r="J9" i="4"/>
  <c r="J2" i="3"/>
  <c r="J3" i="3"/>
  <c r="J4" i="3"/>
  <c r="J5" i="3"/>
  <c r="J6" i="3"/>
  <c r="J7" i="3"/>
  <c r="J8" i="3"/>
  <c r="J9" i="3"/>
</calcChain>
</file>

<file path=xl/sharedStrings.xml><?xml version="1.0" encoding="utf-8"?>
<sst xmlns="http://schemas.openxmlformats.org/spreadsheetml/2006/main" count="637" uniqueCount="45">
  <si>
    <t>StudentID</t>
  </si>
  <si>
    <t>Name</t>
  </si>
  <si>
    <t>Age</t>
  </si>
  <si>
    <t>Major</t>
  </si>
  <si>
    <t>GPA</t>
  </si>
  <si>
    <t>Passed_Math</t>
  </si>
  <si>
    <t>Passed_English</t>
  </si>
  <si>
    <t>Scholarship</t>
  </si>
  <si>
    <t>Attendance_Rate</t>
  </si>
  <si>
    <t>Alice</t>
  </si>
  <si>
    <t>Computer Science</t>
  </si>
  <si>
    <t>Yes</t>
  </si>
  <si>
    <t>95%</t>
  </si>
  <si>
    <t>Bob</t>
  </si>
  <si>
    <t>Biology</t>
  </si>
  <si>
    <t>No</t>
  </si>
  <si>
    <t>78%</t>
  </si>
  <si>
    <t>Charlie</t>
  </si>
  <si>
    <t>Engineering</t>
  </si>
  <si>
    <t>92%</t>
  </si>
  <si>
    <t>Diana</t>
  </si>
  <si>
    <t>Business</t>
  </si>
  <si>
    <t>85%</t>
  </si>
  <si>
    <t>Emma</t>
  </si>
  <si>
    <t>Math</t>
  </si>
  <si>
    <t>98%</t>
  </si>
  <si>
    <t>Frank</t>
  </si>
  <si>
    <t>Physics</t>
  </si>
  <si>
    <t>60%</t>
  </si>
  <si>
    <t>Grace</t>
  </si>
  <si>
    <t>Chemistry</t>
  </si>
  <si>
    <t>90%</t>
  </si>
  <si>
    <t>Henry</t>
  </si>
  <si>
    <t>History</t>
  </si>
  <si>
    <t>88%</t>
  </si>
  <si>
    <t>GPA of 3.5 or higher &amp; if they passed Math</t>
  </si>
  <si>
    <t>Either have a scholarship or attendance rate of 90% or more</t>
  </si>
  <si>
    <t>Did not pass English or have a GPA below 3.0</t>
  </si>
  <si>
    <t>Passed both Math and English, show their records; exclude Frank and Bob</t>
  </si>
  <si>
    <t>Have a scholarship &amp; if they have an attendance rate not below 85%</t>
  </si>
  <si>
    <t>Either passed Math or have a GPA of 3.5 or higher, but NOT both</t>
  </si>
  <si>
    <t>Did not pass Math &amp; did not pass English, show their records</t>
  </si>
  <si>
    <t>Age 20 or younger &amp; if their GPA is not below 3.5.</t>
  </si>
  <si>
    <t>Have scholarship or passed both Math &amp; English, if their attendance is not below 80%</t>
  </si>
  <si>
    <t>Either did not get a scholarship &amp; have GPA below 3.0 or have an attendance rate below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</si>
</sst>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42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A1D083-D25F-4FC9-8164-50E77D281597}" name="Table2" displayName="Table2" ref="A1:I9" totalsRowShown="0" headerRowDxfId="141" dataDxfId="140" tableBorderDxfId="139">
  <autoFilter ref="A1:I9" xr:uid="{38A1D083-D25F-4FC9-8164-50E77D281597}"/>
  <tableColumns count="9">
    <tableColumn id="1" xr3:uid="{405E2F72-74D4-4667-A70A-A1A5B804B344}" name="StudentID" dataDxfId="138"/>
    <tableColumn id="2" xr3:uid="{AE367638-45E6-4733-86AC-D52C864C6719}" name="Name" dataDxfId="137"/>
    <tableColumn id="3" xr3:uid="{1E86DF4F-01F5-434A-B26E-98F26BA14681}" name="Age" dataDxfId="136"/>
    <tableColumn id="4" xr3:uid="{3805BCE9-CD3C-415B-9EEB-ED54133FB726}" name="Major" dataDxfId="135"/>
    <tableColumn id="5" xr3:uid="{1B631CB5-8DE5-4BFC-BD7D-B9D93A33C2FA}" name="GPA" dataDxfId="134"/>
    <tableColumn id="6" xr3:uid="{60C383E5-EF1D-4F4B-A516-1CC550C2D21B}" name="Passed_Math" dataDxfId="133"/>
    <tableColumn id="7" xr3:uid="{71472571-CE94-4132-ADD4-4DC0423AE58F}" name="Passed_English" dataDxfId="132"/>
    <tableColumn id="8" xr3:uid="{55D31965-BFF2-473C-9C97-9734FFDF2BC1}" name="Scholarship" dataDxfId="131"/>
    <tableColumn id="9" xr3:uid="{E19EE8C2-16AA-4E91-AA67-07ED9B58E438}" name="Attendance_Rate" dataDxfId="13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1115F6-3AC8-4ABF-AA4F-491008BB3905}" name="Table24" displayName="Table24" ref="A1:J9" totalsRowShown="0" headerRowDxfId="129" dataDxfId="128" tableBorderDxfId="127">
  <autoFilter ref="A1:J9" xr:uid="{4E1115F6-3AC8-4ABF-AA4F-491008BB3905}"/>
  <tableColumns count="10">
    <tableColumn id="1" xr3:uid="{7FD3391F-B440-47BD-AFD9-250394C3B11E}" name="StudentID" dataDxfId="126"/>
    <tableColumn id="2" xr3:uid="{E5A45A7C-19F9-4198-8F5F-CE6C381AFB6E}" name="Name" dataDxfId="125"/>
    <tableColumn id="3" xr3:uid="{5D203AE0-225F-4AA5-83AB-7F2FD07CA3A0}" name="Age" dataDxfId="124"/>
    <tableColumn id="4" xr3:uid="{F970441F-2D26-4A4E-A312-82BCA5486EC3}" name="Major" dataDxfId="123"/>
    <tableColumn id="5" xr3:uid="{0036E3BE-841B-48FE-A496-903DDDF7CFD5}" name="GPA" dataDxfId="122"/>
    <tableColumn id="6" xr3:uid="{F63E9214-5C70-42AD-9501-015B68F72958}" name="Passed_Math" dataDxfId="121"/>
    <tableColumn id="7" xr3:uid="{3BFC5203-60BB-4632-BBC0-27D8A4C5354A}" name="Passed_English" dataDxfId="120"/>
    <tableColumn id="8" xr3:uid="{048B139D-1BA2-4B08-9983-CBFB4D1E0963}" name="Scholarship" dataDxfId="119"/>
    <tableColumn id="9" xr3:uid="{FB4A40DB-3077-4B9F-A6F0-7F62CE070641}" name="Attendance_Rate" dataDxfId="118"/>
    <tableColumn id="10" xr3:uid="{035D7780-8284-4981-AB4E-A1F2D99468F3}" name="GPA of 3.5 or higher &amp; if they passed Math" dataDxfId="117">
      <calculatedColumnFormula>IF(AND(E2&gt;=3.5,F2="Yes"),"Found","Not Found")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32BAB7-BC99-4B26-891C-D97A04A33C90}" name="Table25" displayName="Table25" ref="A1:J9" totalsRowShown="0" headerRowDxfId="116" dataDxfId="115" tableBorderDxfId="114">
  <autoFilter ref="A1:J9" xr:uid="{2532BAB7-BC99-4B26-891C-D97A04A33C90}"/>
  <tableColumns count="10">
    <tableColumn id="1" xr3:uid="{ECCE0130-3D7C-48F0-809A-E2DB9DF3496A}" name="StudentID" dataDxfId="113"/>
    <tableColumn id="2" xr3:uid="{98D6573A-BA54-4BD9-B731-0862C11FB8B8}" name="Name" dataDxfId="112"/>
    <tableColumn id="3" xr3:uid="{D8FD0C7C-B5DA-4B71-87BB-F44F66EC9C67}" name="Age" dataDxfId="111"/>
    <tableColumn id="4" xr3:uid="{FA399EDD-1F2E-424F-9D9D-2D1D0372F92B}" name="Major" dataDxfId="110"/>
    <tableColumn id="5" xr3:uid="{E46016C2-4B34-40E4-8894-FFEBEC922A61}" name="GPA" dataDxfId="109"/>
    <tableColumn id="6" xr3:uid="{DE0CD4B9-19B2-4128-90BE-0C8D78B89872}" name="Passed_Math" dataDxfId="108"/>
    <tableColumn id="7" xr3:uid="{7D50DD22-F7B8-443F-8B99-2A02362BE33A}" name="Passed_English" dataDxfId="107"/>
    <tableColumn id="8" xr3:uid="{2ABE2888-78ED-480B-97E1-443195B42331}" name="Scholarship" dataDxfId="106"/>
    <tableColumn id="9" xr3:uid="{07F0DEF2-EADD-47A7-8CB8-5A7308A26D2E}" name="Attendance_Rate" dataDxfId="105"/>
    <tableColumn id="10" xr3:uid="{8A7FE645-54A0-4646-AE06-693040C2A85F}" name="Either have a scholarship or attendance rate of 90% or more" dataDxfId="104">
      <calculatedColumnFormula>IF(OR(H2="Yes",I2&gt;="90%"),"Found","Not Found")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4D4616-C728-4163-92DB-818D08EF3D84}" name="Table26" displayName="Table26" ref="A1:J9" totalsRowShown="0" headerRowDxfId="103" dataDxfId="102" tableBorderDxfId="101">
  <autoFilter ref="A1:J9" xr:uid="{BF4D4616-C728-4163-92DB-818D08EF3D84}"/>
  <tableColumns count="10">
    <tableColumn id="1" xr3:uid="{76313295-BA85-4A3E-A6C7-DEFC40D207FA}" name="StudentID" dataDxfId="100"/>
    <tableColumn id="2" xr3:uid="{179ED745-DBEB-48B6-A4B0-46E14769072D}" name="Name" dataDxfId="99"/>
    <tableColumn id="3" xr3:uid="{B2BE3413-E559-4FAA-AB7F-33DFAC499AAD}" name="Age" dataDxfId="98"/>
    <tableColumn id="4" xr3:uid="{E74D77FE-BF02-4B12-9812-6F990F8D7B00}" name="Major" dataDxfId="97"/>
    <tableColumn id="5" xr3:uid="{46C23066-D26E-4EFD-9F0F-09D6069C6B27}" name="GPA" dataDxfId="96"/>
    <tableColumn id="6" xr3:uid="{43694566-4869-4AEE-BB24-6576215B538D}" name="Passed_Math" dataDxfId="95"/>
    <tableColumn id="7" xr3:uid="{35E9B45C-93E8-408F-BFAB-45D08A8A2102}" name="Passed_English" dataDxfId="94"/>
    <tableColumn id="8" xr3:uid="{C87DA0AD-A9F7-4733-81F8-6B64C0E0205F}" name="Scholarship" dataDxfId="93"/>
    <tableColumn id="9" xr3:uid="{9CD11D76-6AF1-429A-9455-AD0F9E870164}" name="Attendance_Rate" dataDxfId="92"/>
    <tableColumn id="10" xr3:uid="{F89D189D-202D-4EF1-AF9B-BF53D1E9A6F3}" name="Did not pass English or have a GPA below 3.0" dataDxfId="91">
      <calculatedColumnFormula>IF(OR(NOT(G2="Yes"),E2&lt;3),"Found","Not Found")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89FAE5-B200-4C42-B2ED-F77DE457BDBC}" name="Table27" displayName="Table27" ref="A1:J9" totalsRowShown="0" headerRowDxfId="90" dataDxfId="89" tableBorderDxfId="88">
  <autoFilter ref="A1:J9" xr:uid="{E089FAE5-B200-4C42-B2ED-F77DE457BDBC}"/>
  <tableColumns count="10">
    <tableColumn id="1" xr3:uid="{D1F0F829-7072-4A76-9F2C-8B3F2C19A26B}" name="StudentID" dataDxfId="87"/>
    <tableColumn id="2" xr3:uid="{5B21022B-777B-492D-8FBC-81B106F44A3E}" name="Name" dataDxfId="86"/>
    <tableColumn id="3" xr3:uid="{97BA70AC-39AF-464E-AC49-40F0BC0A1ECD}" name="Age" dataDxfId="85"/>
    <tableColumn id="4" xr3:uid="{3703B11C-14D9-4311-BC0C-2DAD1D08DB04}" name="Major" dataDxfId="84"/>
    <tableColumn id="5" xr3:uid="{2C489A31-D0F8-47C3-BB9E-6CE77448CBEE}" name="GPA" dataDxfId="83"/>
    <tableColumn id="6" xr3:uid="{665CA659-7819-488D-AC7F-AD367D23FF27}" name="Passed_Math" dataDxfId="82"/>
    <tableColumn id="7" xr3:uid="{E5F251F7-C1F4-45B4-B170-DD66993C3C35}" name="Passed_English" dataDxfId="81"/>
    <tableColumn id="8" xr3:uid="{ED6C2713-1DDF-45FE-A8D6-E432474EC20C}" name="Scholarship" dataDxfId="80"/>
    <tableColumn id="9" xr3:uid="{6342CB72-BA9B-4EC7-9235-9C9B2405A8EA}" name="Attendance_Rate" dataDxfId="79"/>
    <tableColumn id="10" xr3:uid="{D9F5410A-F94F-4102-8455-DB0502047E32}" name="Passed both Math and English, show their records; exclude Frank and Bob" dataDxfId="78">
      <calculatedColumnFormula>IF(AND(F2="Yes",G2="Yes",B2&lt;&gt;"frank",B2&lt;&gt;"bob"),"Found","Not Found")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3426B1-1EEB-4C88-A5BD-E2C9AC3B5BEE}" name="Table28" displayName="Table28" ref="A1:J9" totalsRowShown="0" headerRowDxfId="77" dataDxfId="76" tableBorderDxfId="75">
  <autoFilter ref="A1:J9" xr:uid="{7E3426B1-1EEB-4C88-A5BD-E2C9AC3B5BEE}"/>
  <tableColumns count="10">
    <tableColumn id="1" xr3:uid="{E2F21F64-B616-4EC5-9161-9DBD0FA7176B}" name="StudentID" dataDxfId="74"/>
    <tableColumn id="2" xr3:uid="{50C6B652-D5AD-4AC0-83B3-A0467FCBD0D9}" name="Name" dataDxfId="73"/>
    <tableColumn id="3" xr3:uid="{C1A1B386-20BD-41BF-987B-521CD52FF6AA}" name="Age" dataDxfId="72"/>
    <tableColumn id="4" xr3:uid="{2D3FAA05-B528-407F-8282-4B99FA68ACA1}" name="Major" dataDxfId="71"/>
    <tableColumn id="5" xr3:uid="{26CF8FE4-8E4B-4825-89A4-EFBBAAE3812B}" name="GPA" dataDxfId="70"/>
    <tableColumn id="6" xr3:uid="{57F32798-B535-4B81-A8A3-B7D45D5F6BFA}" name="Passed_Math" dataDxfId="69"/>
    <tableColumn id="7" xr3:uid="{C744717A-7F37-4A6F-8324-B8686BA48119}" name="Passed_English" dataDxfId="68"/>
    <tableColumn id="8" xr3:uid="{62205328-8405-499B-921D-B5F4AC35E426}" name="Scholarship" dataDxfId="67"/>
    <tableColumn id="9" xr3:uid="{E50EA566-DC13-4DA2-B93B-EE350BC58990}" name="Attendance_Rate" dataDxfId="66"/>
    <tableColumn id="10" xr3:uid="{36EFFBB3-AB50-477C-89F1-142D822EEEE0}" name="Have a scholarship &amp; if they have an attendance rate not below 85%" dataDxfId="65">
      <calculatedColumnFormula>IF(AND(H2="Yes",NOT(I2&lt;"85%")),"Found","Not Found")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D2D28D3-E57C-435E-BBD7-287E414AE603}" name="Table29" displayName="Table29" ref="A1:J9" totalsRowShown="0" headerRowDxfId="64" dataDxfId="63" tableBorderDxfId="62">
  <autoFilter ref="A1:J9" xr:uid="{9D2D28D3-E57C-435E-BBD7-287E414AE603}"/>
  <tableColumns count="10">
    <tableColumn id="1" xr3:uid="{EC450B04-B79B-410B-982B-EB86F5630492}" name="StudentID" dataDxfId="61"/>
    <tableColumn id="2" xr3:uid="{BEB2112D-BE43-4EA9-914F-564597D6249C}" name="Name" dataDxfId="60"/>
    <tableColumn id="3" xr3:uid="{612D0304-8676-46CF-A504-503A50D15982}" name="Age" dataDxfId="59"/>
    <tableColumn id="4" xr3:uid="{61F37F71-BBFB-4C49-81E1-9B80C3FDEDB7}" name="Major" dataDxfId="58"/>
    <tableColumn id="5" xr3:uid="{670512BB-E947-4A90-A5EE-0986954185F5}" name="GPA" dataDxfId="57"/>
    <tableColumn id="6" xr3:uid="{E82D80EC-387F-4D06-9748-460079F33FD6}" name="Passed_Math" dataDxfId="56"/>
    <tableColumn id="7" xr3:uid="{C4B4EFA3-2085-4020-B97B-DB06549D4E7A}" name="Passed_English" dataDxfId="55"/>
    <tableColumn id="8" xr3:uid="{5CC12B04-6289-4F04-BFC3-78324F421D03}" name="Scholarship" dataDxfId="54"/>
    <tableColumn id="9" xr3:uid="{32EE02A2-835E-41C9-9949-0EC415505ABE}" name="Attendance_Rate" dataDxfId="53"/>
    <tableColumn id="10" xr3:uid="{2BDF9306-42DB-433B-9AD6-69375C5138C3}" name="Either passed Math or have a GPA of 3.5 or higher, but NOT both" dataDxfId="52">
      <calculatedColumnFormula>IF(OR(AND(F2="Yes",E2&lt;3.5),AND(F2="No",E2&gt;=3.5)),"Found","Not Found")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FD65F0C-47EB-4E72-960B-C8B87ADADA31}" name="Table210" displayName="Table210" ref="A1:J9" totalsRowShown="0" headerRowDxfId="51" dataDxfId="50" tableBorderDxfId="49">
  <autoFilter ref="A1:J9" xr:uid="{AFD65F0C-47EB-4E72-960B-C8B87ADADA31}"/>
  <tableColumns count="10">
    <tableColumn id="1" xr3:uid="{97882B8B-1B5C-4BEC-B700-7F08CC05E6BE}" name="StudentID" dataDxfId="48"/>
    <tableColumn id="2" xr3:uid="{792F1B38-0457-4136-ADBD-F80513DEC215}" name="Name" dataDxfId="47"/>
    <tableColumn id="3" xr3:uid="{21F96092-A1B2-4983-8077-377524E0D97A}" name="Age" dataDxfId="46"/>
    <tableColumn id="4" xr3:uid="{AEB777D3-FB03-4B1F-AE26-AEEAE0CD321A}" name="Major" dataDxfId="45"/>
    <tableColumn id="5" xr3:uid="{5CD81E4B-C9C7-45D3-B194-03FE34E22124}" name="GPA" dataDxfId="44"/>
    <tableColumn id="6" xr3:uid="{4663C2E1-3908-4391-9B1B-47F320F950FE}" name="Passed_Math" dataDxfId="43"/>
    <tableColumn id="7" xr3:uid="{EA7AA068-C777-422A-8D54-B7F1886690DE}" name="Passed_English" dataDxfId="42"/>
    <tableColumn id="8" xr3:uid="{DB2E950E-4701-4F28-A883-0D5E0F241061}" name="Scholarship" dataDxfId="41"/>
    <tableColumn id="9" xr3:uid="{F4E0645D-5A88-4608-972B-BFA15922CB77}" name="Attendance_Rate" dataDxfId="40"/>
    <tableColumn id="10" xr3:uid="{B0E18BA7-2C54-472E-A53E-D1002A157225}" name="Did not pass Math &amp; did not pass English, show their records" dataDxfId="0">
      <calculatedColumnFormula>IF(NOT(AND(F2="No",G2="No")),"Not Found","Found")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A628A7-766A-45C6-820C-F62A2A8D4109}" name="Table211" displayName="Table211" ref="A1:J9" totalsRowShown="0" headerRowDxfId="39" dataDxfId="38" tableBorderDxfId="37">
  <autoFilter ref="A1:J9" xr:uid="{97A628A7-766A-45C6-820C-F62A2A8D4109}"/>
  <tableColumns count="10">
    <tableColumn id="1" xr3:uid="{BFD4B6E2-7176-479D-8DF2-8CFC1FAD6596}" name="StudentID" dataDxfId="36"/>
    <tableColumn id="2" xr3:uid="{B5D397E3-3C6D-49C1-BDD9-C1FCBC32AA58}" name="Name" dataDxfId="35"/>
    <tableColumn id="3" xr3:uid="{B5CD5D93-27E9-402B-BBC0-9A4F4F591D94}" name="Age" dataDxfId="34"/>
    <tableColumn id="4" xr3:uid="{6466FAFF-99B5-4707-8151-CEB56AE99507}" name="Major" dataDxfId="33"/>
    <tableColumn id="5" xr3:uid="{72C6A588-CA9D-489A-8D79-A9E907E8D289}" name="GPA" dataDxfId="32"/>
    <tableColumn id="6" xr3:uid="{74569E82-49AF-4411-9883-EF0D93F90D7D}" name="Passed_Math" dataDxfId="31"/>
    <tableColumn id="7" xr3:uid="{18F30D33-6A8B-49AD-97E3-679ACCDDF748}" name="Passed_English" dataDxfId="30"/>
    <tableColumn id="8" xr3:uid="{0C315905-1E5C-4138-B1E4-F59A65223EE8}" name="Scholarship" dataDxfId="29"/>
    <tableColumn id="9" xr3:uid="{3C1DFDEA-E58D-48EB-A4F9-FFD86B26AED0}" name="Attendance_Rate" dataDxfId="28"/>
    <tableColumn id="10" xr3:uid="{EC3D7565-DF6E-42CF-B20E-325FB1EDC542}" name="Age 20 or younger &amp; if their GPA is not below 3.5." dataDxfId="27">
      <calculatedColumnFormula>IF(AND(C2&lt;=20,NOT(E2&lt;3.5)),"Found","Not Found")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76C570-0594-461F-9C5B-307CA628991D}" name="Table212" displayName="Table212" ref="A1:J9" totalsRowShown="0" headerRowDxfId="26" dataDxfId="25" tableBorderDxfId="24">
  <autoFilter ref="A1:J9" xr:uid="{E776C570-0594-461F-9C5B-307CA628991D}"/>
  <tableColumns count="10">
    <tableColumn id="1" xr3:uid="{C1CBDBCE-D7AC-4E96-83DB-6CADCA782AD5}" name="StudentID" dataDxfId="23"/>
    <tableColumn id="2" xr3:uid="{E523E8A4-DD73-44CF-AD67-96DA349FE890}" name="Name" dataDxfId="22"/>
    <tableColumn id="3" xr3:uid="{B7A743A1-FB55-4E42-821D-A5537FF417FD}" name="Age" dataDxfId="21"/>
    <tableColumn id="4" xr3:uid="{475ABFEF-F78C-4A86-B1D8-D7EF45969FD1}" name="Major" dataDxfId="20"/>
    <tableColumn id="5" xr3:uid="{C9E13E08-8EAB-4BC9-8E9D-2A97991A4F03}" name="GPA" dataDxfId="19"/>
    <tableColumn id="6" xr3:uid="{42859CC6-A924-4615-B4D5-2A880A08C388}" name="Passed_Math" dataDxfId="18"/>
    <tableColumn id="7" xr3:uid="{50D3C3D6-3A6A-49AE-935B-6D68AAA3CB99}" name="Passed_English" dataDxfId="17"/>
    <tableColumn id="8" xr3:uid="{35C1CE25-E6E0-4AB7-8A60-7B94702C5155}" name="Scholarship" dataDxfId="16"/>
    <tableColumn id="9" xr3:uid="{893A989C-DACA-4FF7-BE2F-166C2A17F2BF}" name="Attendance_Rate" dataDxfId="15"/>
    <tableColumn id="10" xr3:uid="{2A002FD8-D988-4027-BB90-9AF00814060F}" name="Have scholarship or passed both Math &amp; English, if their attendance is not below 80%" dataDxfId="1">
      <calculatedColumnFormula>IF(AND(OR(H2="Yes",AND(F2="Yes",G2="Yes")),NOT(I2&lt;"80%")),"Found","Not Found")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8F0562-5730-48C5-93B9-BCC29DF4B466}" name="Table213" displayName="Table213" ref="A1:J9" totalsRowShown="0" headerRowDxfId="14" dataDxfId="13" tableBorderDxfId="12">
  <autoFilter ref="A1:J9" xr:uid="{DC8F0562-5730-48C5-93B9-BCC29DF4B466}"/>
  <tableColumns count="10">
    <tableColumn id="1" xr3:uid="{9B600BB7-53C2-4FC2-97E4-0F7EB19185C8}" name="StudentID" dataDxfId="11"/>
    <tableColumn id="2" xr3:uid="{8CAFA710-C9E9-4877-A447-CA3273F2E058}" name="Name" dataDxfId="10"/>
    <tableColumn id="3" xr3:uid="{91DC6E28-FD51-4D98-9EFE-60C4F04AE3A0}" name="Age" dataDxfId="9"/>
    <tableColumn id="4" xr3:uid="{C7DBD962-1530-4C6E-8E48-2A3BD550F15E}" name="Major" dataDxfId="8"/>
    <tableColumn id="5" xr3:uid="{FE60484E-A473-4DCE-B35D-02A875581BB8}" name="GPA" dataDxfId="7"/>
    <tableColumn id="6" xr3:uid="{F85F59D2-DC28-421A-9525-1C3B72A23194}" name="Passed_Math" dataDxfId="6"/>
    <tableColumn id="7" xr3:uid="{F5B27F03-2979-46AA-A530-FC77B3986733}" name="Passed_English" dataDxfId="5"/>
    <tableColumn id="8" xr3:uid="{56188B1D-0A91-4F76-BBE4-77915DD69E99}" name="Scholarship" dataDxfId="4"/>
    <tableColumn id="9" xr3:uid="{9378CE99-6772-4BE1-A42B-D35D9D572AC5}" name="Attendance_Rate" dataDxfId="3"/>
    <tableColumn id="10" xr3:uid="{B636EA5D-7FD2-440F-95C2-BEFB41B80539}" name="Either did not get a scholarship &amp; have GPA below 3.0 or have an attendance rate below 70%" dataDxfId="2">
      <calculatedColumnFormula>IF(OR(AND(NOT(H2="Yes"),E2&lt;3),I2&lt;"70%"),"Found","Not Found")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showFormulas="1" workbookViewId="0">
      <selection sqref="A1:I9"/>
    </sheetView>
  </sheetViews>
  <sheetFormatPr defaultRowHeight="14.5" x14ac:dyDescent="0.35"/>
  <cols>
    <col min="1" max="1" width="7" bestFit="1" customWidth="1"/>
    <col min="2" max="2" width="5.1796875" bestFit="1" customWidth="1"/>
    <col min="3" max="3" width="4.26953125" bestFit="1" customWidth="1"/>
    <col min="4" max="4" width="8" bestFit="1" customWidth="1"/>
    <col min="5" max="5" width="4.54296875" bestFit="1" customWidth="1"/>
    <col min="6" max="6" width="8.453125" bestFit="1" customWidth="1"/>
    <col min="7" max="7" width="9.08984375" bestFit="1" customWidth="1"/>
    <col min="8" max="8" width="7.54296875" bestFit="1" customWidth="1"/>
    <col min="9" max="9" width="10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101</v>
      </c>
      <c r="B2" s="2" t="s">
        <v>9</v>
      </c>
      <c r="C2" s="2">
        <v>20</v>
      </c>
      <c r="D2" s="2" t="s">
        <v>10</v>
      </c>
      <c r="E2" s="2">
        <v>3.8</v>
      </c>
      <c r="F2" s="2" t="s">
        <v>11</v>
      </c>
      <c r="G2" s="2" t="s">
        <v>11</v>
      </c>
      <c r="H2" s="2" t="s">
        <v>11</v>
      </c>
      <c r="I2" s="2" t="s">
        <v>12</v>
      </c>
    </row>
    <row r="3" spans="1:9" x14ac:dyDescent="0.35">
      <c r="A3" s="2">
        <v>102</v>
      </c>
      <c r="B3" s="2" t="s">
        <v>13</v>
      </c>
      <c r="C3" s="2">
        <v>21</v>
      </c>
      <c r="D3" s="2" t="s">
        <v>14</v>
      </c>
      <c r="E3" s="2">
        <v>2.9</v>
      </c>
      <c r="F3" s="2" t="s">
        <v>15</v>
      </c>
      <c r="G3" s="2" t="s">
        <v>11</v>
      </c>
      <c r="H3" s="2" t="s">
        <v>15</v>
      </c>
      <c r="I3" s="2" t="s">
        <v>16</v>
      </c>
    </row>
    <row r="4" spans="1:9" x14ac:dyDescent="0.35">
      <c r="A4" s="2">
        <v>103</v>
      </c>
      <c r="B4" s="2" t="s">
        <v>17</v>
      </c>
      <c r="C4" s="2">
        <v>19</v>
      </c>
      <c r="D4" s="2" t="s">
        <v>18</v>
      </c>
      <c r="E4" s="2">
        <v>3.5</v>
      </c>
      <c r="F4" s="2" t="s">
        <v>11</v>
      </c>
      <c r="G4" s="2" t="s">
        <v>11</v>
      </c>
      <c r="H4" s="2" t="s">
        <v>11</v>
      </c>
      <c r="I4" s="2" t="s">
        <v>19</v>
      </c>
    </row>
    <row r="5" spans="1:9" x14ac:dyDescent="0.35">
      <c r="A5" s="2">
        <v>104</v>
      </c>
      <c r="B5" s="2" t="s">
        <v>20</v>
      </c>
      <c r="C5" s="2">
        <v>22</v>
      </c>
      <c r="D5" s="2" t="s">
        <v>21</v>
      </c>
      <c r="E5" s="2">
        <v>3.2</v>
      </c>
      <c r="F5" s="2" t="s">
        <v>11</v>
      </c>
      <c r="G5" s="2" t="s">
        <v>15</v>
      </c>
      <c r="H5" s="2" t="s">
        <v>15</v>
      </c>
      <c r="I5" s="2" t="s">
        <v>22</v>
      </c>
    </row>
    <row r="6" spans="1:9" x14ac:dyDescent="0.35">
      <c r="A6" s="2">
        <v>105</v>
      </c>
      <c r="B6" s="2" t="s">
        <v>23</v>
      </c>
      <c r="C6" s="2">
        <v>20</v>
      </c>
      <c r="D6" s="2" t="s">
        <v>24</v>
      </c>
      <c r="E6" s="2">
        <v>3.9</v>
      </c>
      <c r="F6" s="2" t="s">
        <v>11</v>
      </c>
      <c r="G6" s="2" t="s">
        <v>11</v>
      </c>
      <c r="H6" s="2" t="s">
        <v>11</v>
      </c>
      <c r="I6" s="2" t="s">
        <v>25</v>
      </c>
    </row>
    <row r="7" spans="1:9" x14ac:dyDescent="0.35">
      <c r="A7" s="2">
        <v>106</v>
      </c>
      <c r="B7" s="2" t="s">
        <v>26</v>
      </c>
      <c r="C7" s="2">
        <v>21</v>
      </c>
      <c r="D7" s="2" t="s">
        <v>27</v>
      </c>
      <c r="E7" s="2">
        <v>2.5</v>
      </c>
      <c r="F7" s="2" t="s">
        <v>15</v>
      </c>
      <c r="G7" s="2" t="s">
        <v>15</v>
      </c>
      <c r="H7" s="2" t="s">
        <v>15</v>
      </c>
      <c r="I7" s="2" t="s">
        <v>28</v>
      </c>
    </row>
    <row r="8" spans="1:9" x14ac:dyDescent="0.35">
      <c r="A8" s="2">
        <v>107</v>
      </c>
      <c r="B8" s="2" t="s">
        <v>29</v>
      </c>
      <c r="C8" s="2">
        <v>19</v>
      </c>
      <c r="D8" s="2" t="s">
        <v>30</v>
      </c>
      <c r="E8" s="2">
        <v>3.6</v>
      </c>
      <c r="F8" s="2" t="s">
        <v>11</v>
      </c>
      <c r="G8" s="2" t="s">
        <v>11</v>
      </c>
      <c r="H8" s="2" t="s">
        <v>11</v>
      </c>
      <c r="I8" s="2" t="s">
        <v>31</v>
      </c>
    </row>
    <row r="9" spans="1:9" x14ac:dyDescent="0.35">
      <c r="A9" s="3">
        <v>108</v>
      </c>
      <c r="B9" s="3" t="s">
        <v>32</v>
      </c>
      <c r="C9" s="3">
        <v>23</v>
      </c>
      <c r="D9" s="3" t="s">
        <v>33</v>
      </c>
      <c r="E9" s="3">
        <v>3.1</v>
      </c>
      <c r="F9" s="3" t="s">
        <v>11</v>
      </c>
      <c r="G9" s="3" t="s">
        <v>15</v>
      </c>
      <c r="H9" s="3" t="s">
        <v>15</v>
      </c>
      <c r="I9" s="3" t="s">
        <v>34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EAB5-D034-4715-9F7B-AE7B3EAC26A2}">
  <dimension ref="A1:J9"/>
  <sheetViews>
    <sheetView showFormulas="1" tabSelected="1" zoomScale="90" zoomScaleNormal="90" workbookViewId="0">
      <selection activeCell="F17" sqref="F17"/>
    </sheetView>
  </sheetViews>
  <sheetFormatPr defaultRowHeight="14.5" x14ac:dyDescent="0.35"/>
  <cols>
    <col min="1" max="1" width="7.81640625" bestFit="1" customWidth="1"/>
    <col min="2" max="2" width="6" bestFit="1" customWidth="1"/>
    <col min="3" max="3" width="5.08984375" bestFit="1" customWidth="1"/>
    <col min="4" max="4" width="8" bestFit="1" customWidth="1"/>
    <col min="5" max="5" width="5.26953125" bestFit="1" customWidth="1"/>
    <col min="6" max="6" width="9.1796875" bestFit="1" customWidth="1"/>
    <col min="7" max="7" width="9.81640625" bestFit="1" customWidth="1"/>
    <col min="8" max="8" width="8.26953125" bestFit="1" customWidth="1"/>
    <col min="9" max="9" width="10.81640625" bestFit="1" customWidth="1"/>
    <col min="10" max="10" width="21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35</v>
      </c>
    </row>
    <row r="2" spans="1:10" x14ac:dyDescent="0.35">
      <c r="A2" s="2">
        <v>101</v>
      </c>
      <c r="B2" s="2" t="s">
        <v>9</v>
      </c>
      <c r="C2" s="2">
        <v>20</v>
      </c>
      <c r="D2" s="2" t="s">
        <v>10</v>
      </c>
      <c r="E2" s="2">
        <v>3.8</v>
      </c>
      <c r="F2" s="2" t="s">
        <v>11</v>
      </c>
      <c r="G2" s="2" t="s">
        <v>11</v>
      </c>
      <c r="H2" s="2" t="s">
        <v>11</v>
      </c>
      <c r="I2" s="2" t="s">
        <v>12</v>
      </c>
      <c r="J2" s="4" t="str">
        <f t="shared" ref="J2:J9" si="0">IF(AND(E2&gt;=3.5,F2="Yes"),"Found","Not Found")</f>
        <v>Found</v>
      </c>
    </row>
    <row r="3" spans="1:10" x14ac:dyDescent="0.35">
      <c r="A3" s="2">
        <v>102</v>
      </c>
      <c r="B3" s="2" t="s">
        <v>13</v>
      </c>
      <c r="C3" s="2">
        <v>21</v>
      </c>
      <c r="D3" s="2" t="s">
        <v>14</v>
      </c>
      <c r="E3" s="2">
        <v>2.9</v>
      </c>
      <c r="F3" s="2" t="s">
        <v>15</v>
      </c>
      <c r="G3" s="2" t="s">
        <v>11</v>
      </c>
      <c r="H3" s="2" t="s">
        <v>15</v>
      </c>
      <c r="I3" s="2" t="s">
        <v>16</v>
      </c>
      <c r="J3" s="2" t="str">
        <f t="shared" si="0"/>
        <v>Not Found</v>
      </c>
    </row>
    <row r="4" spans="1:10" x14ac:dyDescent="0.35">
      <c r="A4" s="2">
        <v>103</v>
      </c>
      <c r="B4" s="2" t="s">
        <v>17</v>
      </c>
      <c r="C4" s="2">
        <v>19</v>
      </c>
      <c r="D4" s="2" t="s">
        <v>18</v>
      </c>
      <c r="E4" s="2">
        <v>3.5</v>
      </c>
      <c r="F4" s="2" t="s">
        <v>11</v>
      </c>
      <c r="G4" s="2" t="s">
        <v>11</v>
      </c>
      <c r="H4" s="2" t="s">
        <v>11</v>
      </c>
      <c r="I4" s="2" t="s">
        <v>19</v>
      </c>
      <c r="J4" s="2" t="str">
        <f t="shared" si="0"/>
        <v>Found</v>
      </c>
    </row>
    <row r="5" spans="1:10" x14ac:dyDescent="0.35">
      <c r="A5" s="2">
        <v>104</v>
      </c>
      <c r="B5" s="2" t="s">
        <v>20</v>
      </c>
      <c r="C5" s="2">
        <v>22</v>
      </c>
      <c r="D5" s="2" t="s">
        <v>21</v>
      </c>
      <c r="E5" s="2">
        <v>3.2</v>
      </c>
      <c r="F5" s="2" t="s">
        <v>11</v>
      </c>
      <c r="G5" s="2" t="s">
        <v>15</v>
      </c>
      <c r="H5" s="2" t="s">
        <v>15</v>
      </c>
      <c r="I5" s="2" t="s">
        <v>22</v>
      </c>
      <c r="J5" s="2" t="str">
        <f t="shared" si="0"/>
        <v>Not Found</v>
      </c>
    </row>
    <row r="6" spans="1:10" x14ac:dyDescent="0.35">
      <c r="A6" s="2">
        <v>105</v>
      </c>
      <c r="B6" s="2" t="s">
        <v>23</v>
      </c>
      <c r="C6" s="2">
        <v>20</v>
      </c>
      <c r="D6" s="2" t="s">
        <v>24</v>
      </c>
      <c r="E6" s="2">
        <v>3.9</v>
      </c>
      <c r="F6" s="2" t="s">
        <v>11</v>
      </c>
      <c r="G6" s="2" t="s">
        <v>11</v>
      </c>
      <c r="H6" s="2" t="s">
        <v>11</v>
      </c>
      <c r="I6" s="2" t="s">
        <v>25</v>
      </c>
      <c r="J6" s="2" t="str">
        <f t="shared" si="0"/>
        <v>Found</v>
      </c>
    </row>
    <row r="7" spans="1:10" x14ac:dyDescent="0.35">
      <c r="A7" s="2">
        <v>106</v>
      </c>
      <c r="B7" s="2" t="s">
        <v>26</v>
      </c>
      <c r="C7" s="2">
        <v>21</v>
      </c>
      <c r="D7" s="2" t="s">
        <v>27</v>
      </c>
      <c r="E7" s="2">
        <v>2.5</v>
      </c>
      <c r="F7" s="2" t="s">
        <v>15</v>
      </c>
      <c r="G7" s="2" t="s">
        <v>15</v>
      </c>
      <c r="H7" s="2" t="s">
        <v>15</v>
      </c>
      <c r="I7" s="2" t="s">
        <v>28</v>
      </c>
      <c r="J7" s="2" t="str">
        <f t="shared" si="0"/>
        <v>Not Found</v>
      </c>
    </row>
    <row r="8" spans="1:10" x14ac:dyDescent="0.35">
      <c r="A8" s="2">
        <v>107</v>
      </c>
      <c r="B8" s="2" t="s">
        <v>29</v>
      </c>
      <c r="C8" s="2">
        <v>19</v>
      </c>
      <c r="D8" s="2" t="s">
        <v>30</v>
      </c>
      <c r="E8" s="2">
        <v>3.6</v>
      </c>
      <c r="F8" s="2" t="s">
        <v>11</v>
      </c>
      <c r="G8" s="2" t="s">
        <v>11</v>
      </c>
      <c r="H8" s="2" t="s">
        <v>11</v>
      </c>
      <c r="I8" s="2" t="s">
        <v>31</v>
      </c>
      <c r="J8" s="2" t="str">
        <f t="shared" si="0"/>
        <v>Found</v>
      </c>
    </row>
    <row r="9" spans="1:10" x14ac:dyDescent="0.35">
      <c r="A9" s="3">
        <v>108</v>
      </c>
      <c r="B9" s="3" t="s">
        <v>32</v>
      </c>
      <c r="C9" s="3">
        <v>23</v>
      </c>
      <c r="D9" s="3" t="s">
        <v>33</v>
      </c>
      <c r="E9" s="3">
        <v>3.1</v>
      </c>
      <c r="F9" s="3" t="s">
        <v>11</v>
      </c>
      <c r="G9" s="3" t="s">
        <v>15</v>
      </c>
      <c r="H9" s="3" t="s">
        <v>15</v>
      </c>
      <c r="I9" s="3" t="s">
        <v>34</v>
      </c>
      <c r="J9" s="3" t="str">
        <f t="shared" si="0"/>
        <v>Not Found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4CB7-3D2B-4AE5-924C-6FDFFC7BDFBF}">
  <dimension ref="A1:J9"/>
  <sheetViews>
    <sheetView showFormulas="1" zoomScale="90" zoomScaleNormal="90" workbookViewId="0">
      <selection activeCell="I14" sqref="I14"/>
    </sheetView>
  </sheetViews>
  <sheetFormatPr defaultRowHeight="14.5" x14ac:dyDescent="0.35"/>
  <cols>
    <col min="1" max="1" width="7" bestFit="1" customWidth="1"/>
    <col min="2" max="2" width="5.1796875" bestFit="1" customWidth="1"/>
    <col min="3" max="3" width="4.26953125" bestFit="1" customWidth="1"/>
    <col min="4" max="4" width="8" bestFit="1" customWidth="1"/>
    <col min="5" max="5" width="4.54296875" bestFit="1" customWidth="1"/>
    <col min="6" max="6" width="8.453125" bestFit="1" customWidth="1"/>
    <col min="7" max="7" width="9.08984375" bestFit="1" customWidth="1"/>
    <col min="8" max="8" width="7.54296875" bestFit="1" customWidth="1"/>
    <col min="9" max="9" width="10.08984375" bestFit="1" customWidth="1"/>
    <col min="10" max="10" width="28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36</v>
      </c>
    </row>
    <row r="2" spans="1:10" x14ac:dyDescent="0.35">
      <c r="A2" s="2">
        <v>101</v>
      </c>
      <c r="B2" s="2" t="s">
        <v>9</v>
      </c>
      <c r="C2" s="2">
        <v>20</v>
      </c>
      <c r="D2" s="2" t="s">
        <v>10</v>
      </c>
      <c r="E2" s="2">
        <v>3.8</v>
      </c>
      <c r="F2" s="2" t="s">
        <v>11</v>
      </c>
      <c r="G2" s="2" t="s">
        <v>11</v>
      </c>
      <c r="H2" s="2" t="s">
        <v>11</v>
      </c>
      <c r="I2" s="2" t="s">
        <v>12</v>
      </c>
      <c r="J2" s="4" t="str">
        <f t="shared" ref="J2:J9" si="0">IF(OR(H2="Yes",I2&gt;="90%"),"Found","Not Found")</f>
        <v>Found</v>
      </c>
    </row>
    <row r="3" spans="1:10" x14ac:dyDescent="0.35">
      <c r="A3" s="2">
        <v>102</v>
      </c>
      <c r="B3" s="2" t="s">
        <v>13</v>
      </c>
      <c r="C3" s="2">
        <v>21</v>
      </c>
      <c r="D3" s="2" t="s">
        <v>14</v>
      </c>
      <c r="E3" s="2">
        <v>2.9</v>
      </c>
      <c r="F3" s="2" t="s">
        <v>15</v>
      </c>
      <c r="G3" s="2" t="s">
        <v>11</v>
      </c>
      <c r="H3" s="2" t="s">
        <v>15</v>
      </c>
      <c r="I3" s="2" t="s">
        <v>16</v>
      </c>
      <c r="J3" s="2" t="str">
        <f t="shared" si="0"/>
        <v>Not Found</v>
      </c>
    </row>
    <row r="4" spans="1:10" x14ac:dyDescent="0.35">
      <c r="A4" s="2">
        <v>103</v>
      </c>
      <c r="B4" s="2" t="s">
        <v>17</v>
      </c>
      <c r="C4" s="2">
        <v>19</v>
      </c>
      <c r="D4" s="2" t="s">
        <v>18</v>
      </c>
      <c r="E4" s="2">
        <v>3.5</v>
      </c>
      <c r="F4" s="2" t="s">
        <v>11</v>
      </c>
      <c r="G4" s="2" t="s">
        <v>11</v>
      </c>
      <c r="H4" s="2" t="s">
        <v>11</v>
      </c>
      <c r="I4" s="2" t="s">
        <v>19</v>
      </c>
      <c r="J4" s="2" t="str">
        <f t="shared" si="0"/>
        <v>Found</v>
      </c>
    </row>
    <row r="5" spans="1:10" x14ac:dyDescent="0.35">
      <c r="A5" s="2">
        <v>104</v>
      </c>
      <c r="B5" s="2" t="s">
        <v>20</v>
      </c>
      <c r="C5" s="2">
        <v>22</v>
      </c>
      <c r="D5" s="2" t="s">
        <v>21</v>
      </c>
      <c r="E5" s="2">
        <v>3.2</v>
      </c>
      <c r="F5" s="2" t="s">
        <v>11</v>
      </c>
      <c r="G5" s="2" t="s">
        <v>15</v>
      </c>
      <c r="H5" s="2" t="s">
        <v>15</v>
      </c>
      <c r="I5" s="2" t="s">
        <v>22</v>
      </c>
      <c r="J5" s="2" t="str">
        <f t="shared" si="0"/>
        <v>Not Found</v>
      </c>
    </row>
    <row r="6" spans="1:10" x14ac:dyDescent="0.35">
      <c r="A6" s="2">
        <v>105</v>
      </c>
      <c r="B6" s="2" t="s">
        <v>23</v>
      </c>
      <c r="C6" s="2">
        <v>20</v>
      </c>
      <c r="D6" s="2" t="s">
        <v>24</v>
      </c>
      <c r="E6" s="2">
        <v>3.9</v>
      </c>
      <c r="F6" s="2" t="s">
        <v>11</v>
      </c>
      <c r="G6" s="2" t="s">
        <v>11</v>
      </c>
      <c r="H6" s="2" t="s">
        <v>11</v>
      </c>
      <c r="I6" s="2" t="s">
        <v>25</v>
      </c>
      <c r="J6" s="2" t="str">
        <f t="shared" si="0"/>
        <v>Found</v>
      </c>
    </row>
    <row r="7" spans="1:10" x14ac:dyDescent="0.35">
      <c r="A7" s="2">
        <v>106</v>
      </c>
      <c r="B7" s="2" t="s">
        <v>26</v>
      </c>
      <c r="C7" s="2">
        <v>21</v>
      </c>
      <c r="D7" s="2" t="s">
        <v>27</v>
      </c>
      <c r="E7" s="2">
        <v>2.5</v>
      </c>
      <c r="F7" s="2" t="s">
        <v>15</v>
      </c>
      <c r="G7" s="2" t="s">
        <v>15</v>
      </c>
      <c r="H7" s="2" t="s">
        <v>15</v>
      </c>
      <c r="I7" s="2" t="s">
        <v>28</v>
      </c>
      <c r="J7" s="2" t="str">
        <f t="shared" si="0"/>
        <v>Not Found</v>
      </c>
    </row>
    <row r="8" spans="1:10" x14ac:dyDescent="0.35">
      <c r="A8" s="2">
        <v>107</v>
      </c>
      <c r="B8" s="2" t="s">
        <v>29</v>
      </c>
      <c r="C8" s="2">
        <v>19</v>
      </c>
      <c r="D8" s="2" t="s">
        <v>30</v>
      </c>
      <c r="E8" s="2">
        <v>3.6</v>
      </c>
      <c r="F8" s="2" t="s">
        <v>11</v>
      </c>
      <c r="G8" s="2" t="s">
        <v>11</v>
      </c>
      <c r="H8" s="2" t="s">
        <v>11</v>
      </c>
      <c r="I8" s="2" t="s">
        <v>31</v>
      </c>
      <c r="J8" s="2" t="str">
        <f t="shared" si="0"/>
        <v>Found</v>
      </c>
    </row>
    <row r="9" spans="1:10" x14ac:dyDescent="0.35">
      <c r="A9" s="3">
        <v>108</v>
      </c>
      <c r="B9" s="3" t="s">
        <v>32</v>
      </c>
      <c r="C9" s="3">
        <v>23</v>
      </c>
      <c r="D9" s="3" t="s">
        <v>33</v>
      </c>
      <c r="E9" s="3">
        <v>3.1</v>
      </c>
      <c r="F9" s="3" t="s">
        <v>11</v>
      </c>
      <c r="G9" s="3" t="s">
        <v>15</v>
      </c>
      <c r="H9" s="3" t="s">
        <v>15</v>
      </c>
      <c r="I9" s="3" t="s">
        <v>34</v>
      </c>
      <c r="J9" s="3" t="str">
        <f t="shared" si="0"/>
        <v>Not Found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CD95-0086-4B05-BB29-3F46B1ACB3E7}">
  <dimension ref="A1:J9"/>
  <sheetViews>
    <sheetView showFormulas="1" zoomScale="90" zoomScaleNormal="90" workbookViewId="0">
      <selection activeCell="J12" sqref="J12"/>
    </sheetView>
  </sheetViews>
  <sheetFormatPr defaultRowHeight="14.5" x14ac:dyDescent="0.35"/>
  <cols>
    <col min="1" max="1" width="7" bestFit="1" customWidth="1"/>
    <col min="2" max="2" width="5.1796875" bestFit="1" customWidth="1"/>
    <col min="3" max="3" width="4.26953125" bestFit="1" customWidth="1"/>
    <col min="4" max="4" width="8" bestFit="1" customWidth="1"/>
    <col min="5" max="5" width="4.54296875" bestFit="1" customWidth="1"/>
    <col min="6" max="6" width="8.453125" bestFit="1" customWidth="1"/>
    <col min="7" max="7" width="9.08984375" bestFit="1" customWidth="1"/>
    <col min="8" max="8" width="7.54296875" bestFit="1" customWidth="1"/>
    <col min="9" max="9" width="10.08984375" bestFit="1" customWidth="1"/>
    <col min="10" max="10" width="22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37</v>
      </c>
    </row>
    <row r="2" spans="1:10" x14ac:dyDescent="0.35">
      <c r="A2" s="2">
        <v>101</v>
      </c>
      <c r="B2" s="2" t="s">
        <v>9</v>
      </c>
      <c r="C2" s="2">
        <v>20</v>
      </c>
      <c r="D2" s="2" t="s">
        <v>10</v>
      </c>
      <c r="E2" s="2">
        <v>3.8</v>
      </c>
      <c r="F2" s="2" t="s">
        <v>11</v>
      </c>
      <c r="G2" s="2" t="s">
        <v>11</v>
      </c>
      <c r="H2" s="2" t="s">
        <v>11</v>
      </c>
      <c r="I2" s="2" t="s">
        <v>12</v>
      </c>
      <c r="J2" s="4" t="str">
        <f t="shared" ref="J2:J9" si="0">IF(OR(NOT(G2="Yes"),E2&lt;3),"Found","Not Found")</f>
        <v>Not Found</v>
      </c>
    </row>
    <row r="3" spans="1:10" x14ac:dyDescent="0.35">
      <c r="A3" s="2">
        <v>102</v>
      </c>
      <c r="B3" s="2" t="s">
        <v>13</v>
      </c>
      <c r="C3" s="2">
        <v>21</v>
      </c>
      <c r="D3" s="2" t="s">
        <v>14</v>
      </c>
      <c r="E3" s="2">
        <v>2.9</v>
      </c>
      <c r="F3" s="2" t="s">
        <v>15</v>
      </c>
      <c r="G3" s="2" t="s">
        <v>11</v>
      </c>
      <c r="H3" s="2" t="s">
        <v>15</v>
      </c>
      <c r="I3" s="2" t="s">
        <v>16</v>
      </c>
      <c r="J3" s="2" t="str">
        <f t="shared" si="0"/>
        <v>Found</v>
      </c>
    </row>
    <row r="4" spans="1:10" x14ac:dyDescent="0.35">
      <c r="A4" s="2">
        <v>103</v>
      </c>
      <c r="B4" s="2" t="s">
        <v>17</v>
      </c>
      <c r="C4" s="2">
        <v>19</v>
      </c>
      <c r="D4" s="2" t="s">
        <v>18</v>
      </c>
      <c r="E4" s="2">
        <v>3.5</v>
      </c>
      <c r="F4" s="2" t="s">
        <v>11</v>
      </c>
      <c r="G4" s="2" t="s">
        <v>11</v>
      </c>
      <c r="H4" s="2" t="s">
        <v>11</v>
      </c>
      <c r="I4" s="2" t="s">
        <v>19</v>
      </c>
      <c r="J4" s="2" t="str">
        <f t="shared" si="0"/>
        <v>Not Found</v>
      </c>
    </row>
    <row r="5" spans="1:10" x14ac:dyDescent="0.35">
      <c r="A5" s="2">
        <v>104</v>
      </c>
      <c r="B5" s="2" t="s">
        <v>20</v>
      </c>
      <c r="C5" s="2">
        <v>22</v>
      </c>
      <c r="D5" s="2" t="s">
        <v>21</v>
      </c>
      <c r="E5" s="2">
        <v>3.2</v>
      </c>
      <c r="F5" s="2" t="s">
        <v>11</v>
      </c>
      <c r="G5" s="2" t="s">
        <v>15</v>
      </c>
      <c r="H5" s="2" t="s">
        <v>15</v>
      </c>
      <c r="I5" s="2" t="s">
        <v>22</v>
      </c>
      <c r="J5" s="2" t="str">
        <f t="shared" si="0"/>
        <v>Found</v>
      </c>
    </row>
    <row r="6" spans="1:10" x14ac:dyDescent="0.35">
      <c r="A6" s="2">
        <v>105</v>
      </c>
      <c r="B6" s="2" t="s">
        <v>23</v>
      </c>
      <c r="C6" s="2">
        <v>20</v>
      </c>
      <c r="D6" s="2" t="s">
        <v>24</v>
      </c>
      <c r="E6" s="2">
        <v>3.9</v>
      </c>
      <c r="F6" s="2" t="s">
        <v>11</v>
      </c>
      <c r="G6" s="2" t="s">
        <v>11</v>
      </c>
      <c r="H6" s="2" t="s">
        <v>11</v>
      </c>
      <c r="I6" s="2" t="s">
        <v>25</v>
      </c>
      <c r="J6" s="2" t="str">
        <f t="shared" si="0"/>
        <v>Not Found</v>
      </c>
    </row>
    <row r="7" spans="1:10" x14ac:dyDescent="0.35">
      <c r="A7" s="2">
        <v>106</v>
      </c>
      <c r="B7" s="2" t="s">
        <v>26</v>
      </c>
      <c r="C7" s="2">
        <v>21</v>
      </c>
      <c r="D7" s="2" t="s">
        <v>27</v>
      </c>
      <c r="E7" s="2">
        <v>2.5</v>
      </c>
      <c r="F7" s="2" t="s">
        <v>15</v>
      </c>
      <c r="G7" s="2" t="s">
        <v>15</v>
      </c>
      <c r="H7" s="2" t="s">
        <v>15</v>
      </c>
      <c r="I7" s="2" t="s">
        <v>28</v>
      </c>
      <c r="J7" s="2" t="str">
        <f t="shared" si="0"/>
        <v>Found</v>
      </c>
    </row>
    <row r="8" spans="1:10" x14ac:dyDescent="0.35">
      <c r="A8" s="2">
        <v>107</v>
      </c>
      <c r="B8" s="2" t="s">
        <v>29</v>
      </c>
      <c r="C8" s="2">
        <v>19</v>
      </c>
      <c r="D8" s="2" t="s">
        <v>30</v>
      </c>
      <c r="E8" s="2">
        <v>3.6</v>
      </c>
      <c r="F8" s="2" t="s">
        <v>11</v>
      </c>
      <c r="G8" s="2" t="s">
        <v>11</v>
      </c>
      <c r="H8" s="2" t="s">
        <v>11</v>
      </c>
      <c r="I8" s="2" t="s">
        <v>31</v>
      </c>
      <c r="J8" s="2" t="str">
        <f t="shared" si="0"/>
        <v>Not Found</v>
      </c>
    </row>
    <row r="9" spans="1:10" x14ac:dyDescent="0.35">
      <c r="A9" s="3">
        <v>108</v>
      </c>
      <c r="B9" s="3" t="s">
        <v>32</v>
      </c>
      <c r="C9" s="3">
        <v>23</v>
      </c>
      <c r="D9" s="3" t="s">
        <v>33</v>
      </c>
      <c r="E9" s="3">
        <v>3.1</v>
      </c>
      <c r="F9" s="3" t="s">
        <v>11</v>
      </c>
      <c r="G9" s="3" t="s">
        <v>15</v>
      </c>
      <c r="H9" s="3" t="s">
        <v>15</v>
      </c>
      <c r="I9" s="3" t="s">
        <v>34</v>
      </c>
      <c r="J9" s="3" t="str">
        <f t="shared" si="0"/>
        <v>Found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D487-2965-4C9B-A657-138CBCF2AE51}">
  <dimension ref="A1:J9"/>
  <sheetViews>
    <sheetView showFormulas="1" zoomScale="80" zoomScaleNormal="80" workbookViewId="0">
      <selection activeCell="B13" sqref="B13"/>
    </sheetView>
  </sheetViews>
  <sheetFormatPr defaultRowHeight="14.5" x14ac:dyDescent="0.35"/>
  <cols>
    <col min="1" max="1" width="7" bestFit="1" customWidth="1"/>
    <col min="2" max="2" width="5.1796875" bestFit="1" customWidth="1"/>
    <col min="3" max="3" width="4.26953125" bestFit="1" customWidth="1"/>
    <col min="4" max="4" width="8" bestFit="1" customWidth="1"/>
    <col min="5" max="5" width="4.54296875" bestFit="1" customWidth="1"/>
    <col min="6" max="6" width="8.453125" bestFit="1" customWidth="1"/>
    <col min="7" max="7" width="9.08984375" bestFit="1" customWidth="1"/>
    <col min="8" max="8" width="7.54296875" bestFit="1" customWidth="1"/>
    <col min="9" max="9" width="10.08984375" bestFit="1" customWidth="1"/>
    <col min="10" max="10" width="34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38</v>
      </c>
    </row>
    <row r="2" spans="1:10" x14ac:dyDescent="0.35">
      <c r="A2" s="2">
        <v>101</v>
      </c>
      <c r="B2" s="2" t="s">
        <v>9</v>
      </c>
      <c r="C2" s="2">
        <v>20</v>
      </c>
      <c r="D2" s="2" t="s">
        <v>10</v>
      </c>
      <c r="E2" s="2">
        <v>3.8</v>
      </c>
      <c r="F2" s="2" t="s">
        <v>11</v>
      </c>
      <c r="G2" s="2" t="s">
        <v>11</v>
      </c>
      <c r="H2" s="2" t="s">
        <v>11</v>
      </c>
      <c r="I2" s="2" t="s">
        <v>12</v>
      </c>
      <c r="J2" s="4" t="str">
        <f t="shared" ref="J2:J9" si="0">IF(AND(F2="Yes",G2="Yes",B2&lt;&gt;"frank",B2&lt;&gt;"bob"),"Found","Not Found")</f>
        <v>Found</v>
      </c>
    </row>
    <row r="3" spans="1:10" x14ac:dyDescent="0.35">
      <c r="A3" s="2">
        <v>102</v>
      </c>
      <c r="B3" s="2" t="s">
        <v>13</v>
      </c>
      <c r="C3" s="2">
        <v>21</v>
      </c>
      <c r="D3" s="2" t="s">
        <v>14</v>
      </c>
      <c r="E3" s="2">
        <v>2.9</v>
      </c>
      <c r="F3" s="2" t="s">
        <v>15</v>
      </c>
      <c r="G3" s="2" t="s">
        <v>11</v>
      </c>
      <c r="H3" s="2" t="s">
        <v>15</v>
      </c>
      <c r="I3" s="2" t="s">
        <v>16</v>
      </c>
      <c r="J3" s="2" t="str">
        <f t="shared" si="0"/>
        <v>Not Found</v>
      </c>
    </row>
    <row r="4" spans="1:10" x14ac:dyDescent="0.35">
      <c r="A4" s="2">
        <v>103</v>
      </c>
      <c r="B4" s="2" t="s">
        <v>17</v>
      </c>
      <c r="C4" s="2">
        <v>19</v>
      </c>
      <c r="D4" s="2" t="s">
        <v>18</v>
      </c>
      <c r="E4" s="2">
        <v>3.5</v>
      </c>
      <c r="F4" s="2" t="s">
        <v>11</v>
      </c>
      <c r="G4" s="2" t="s">
        <v>11</v>
      </c>
      <c r="H4" s="2" t="s">
        <v>11</v>
      </c>
      <c r="I4" s="2" t="s">
        <v>19</v>
      </c>
      <c r="J4" s="2" t="str">
        <f t="shared" si="0"/>
        <v>Found</v>
      </c>
    </row>
    <row r="5" spans="1:10" x14ac:dyDescent="0.35">
      <c r="A5" s="2">
        <v>104</v>
      </c>
      <c r="B5" s="2" t="s">
        <v>20</v>
      </c>
      <c r="C5" s="2">
        <v>22</v>
      </c>
      <c r="D5" s="2" t="s">
        <v>21</v>
      </c>
      <c r="E5" s="2">
        <v>3.2</v>
      </c>
      <c r="F5" s="2" t="s">
        <v>11</v>
      </c>
      <c r="G5" s="2" t="s">
        <v>15</v>
      </c>
      <c r="H5" s="2" t="s">
        <v>15</v>
      </c>
      <c r="I5" s="2" t="s">
        <v>22</v>
      </c>
      <c r="J5" s="2" t="str">
        <f t="shared" si="0"/>
        <v>Not Found</v>
      </c>
    </row>
    <row r="6" spans="1:10" x14ac:dyDescent="0.35">
      <c r="A6" s="2">
        <v>105</v>
      </c>
      <c r="B6" s="2" t="s">
        <v>23</v>
      </c>
      <c r="C6" s="2">
        <v>20</v>
      </c>
      <c r="D6" s="2" t="s">
        <v>24</v>
      </c>
      <c r="E6" s="2">
        <v>3.9</v>
      </c>
      <c r="F6" s="2" t="s">
        <v>11</v>
      </c>
      <c r="G6" s="2" t="s">
        <v>11</v>
      </c>
      <c r="H6" s="2" t="s">
        <v>11</v>
      </c>
      <c r="I6" s="2" t="s">
        <v>25</v>
      </c>
      <c r="J6" s="2" t="str">
        <f t="shared" si="0"/>
        <v>Found</v>
      </c>
    </row>
    <row r="7" spans="1:10" x14ac:dyDescent="0.35">
      <c r="A7" s="2">
        <v>106</v>
      </c>
      <c r="B7" s="2" t="s">
        <v>26</v>
      </c>
      <c r="C7" s="2">
        <v>21</v>
      </c>
      <c r="D7" s="2" t="s">
        <v>27</v>
      </c>
      <c r="E7" s="2">
        <v>2.5</v>
      </c>
      <c r="F7" s="2" t="s">
        <v>15</v>
      </c>
      <c r="G7" s="2" t="s">
        <v>15</v>
      </c>
      <c r="H7" s="2" t="s">
        <v>15</v>
      </c>
      <c r="I7" s="2" t="s">
        <v>28</v>
      </c>
      <c r="J7" s="2" t="str">
        <f t="shared" si="0"/>
        <v>Not Found</v>
      </c>
    </row>
    <row r="8" spans="1:10" x14ac:dyDescent="0.35">
      <c r="A8" s="2">
        <v>107</v>
      </c>
      <c r="B8" s="2" t="s">
        <v>29</v>
      </c>
      <c r="C8" s="2">
        <v>19</v>
      </c>
      <c r="D8" s="2" t="s">
        <v>30</v>
      </c>
      <c r="E8" s="2">
        <v>3.6</v>
      </c>
      <c r="F8" s="2" t="s">
        <v>11</v>
      </c>
      <c r="G8" s="2" t="s">
        <v>11</v>
      </c>
      <c r="H8" s="2" t="s">
        <v>11</v>
      </c>
      <c r="I8" s="2" t="s">
        <v>31</v>
      </c>
      <c r="J8" s="2" t="str">
        <f t="shared" si="0"/>
        <v>Found</v>
      </c>
    </row>
    <row r="9" spans="1:10" x14ac:dyDescent="0.35">
      <c r="A9" s="3">
        <v>108</v>
      </c>
      <c r="B9" s="3" t="s">
        <v>32</v>
      </c>
      <c r="C9" s="3">
        <v>23</v>
      </c>
      <c r="D9" s="3" t="s">
        <v>33</v>
      </c>
      <c r="E9" s="3">
        <v>3.1</v>
      </c>
      <c r="F9" s="3" t="s">
        <v>11</v>
      </c>
      <c r="G9" s="3" t="s">
        <v>15</v>
      </c>
      <c r="H9" s="3" t="s">
        <v>15</v>
      </c>
      <c r="I9" s="3" t="s">
        <v>34</v>
      </c>
      <c r="J9" s="3" t="str">
        <f t="shared" si="0"/>
        <v>Not Found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1CC0-B87C-4B14-A785-C9ADECF068B7}">
  <dimension ref="A1:J9"/>
  <sheetViews>
    <sheetView showFormulas="1" zoomScale="80" zoomScaleNormal="80" workbookViewId="0">
      <selection activeCell="G21" sqref="G21"/>
    </sheetView>
  </sheetViews>
  <sheetFormatPr defaultRowHeight="14.5" x14ac:dyDescent="0.35"/>
  <cols>
    <col min="1" max="1" width="7" bestFit="1" customWidth="1"/>
    <col min="2" max="2" width="5.1796875" bestFit="1" customWidth="1"/>
    <col min="3" max="3" width="4.26953125" bestFit="1" customWidth="1"/>
    <col min="4" max="4" width="8" bestFit="1" customWidth="1"/>
    <col min="5" max="5" width="4.54296875" bestFit="1" customWidth="1"/>
    <col min="6" max="6" width="8.453125" bestFit="1" customWidth="1"/>
    <col min="7" max="7" width="9.08984375" bestFit="1" customWidth="1"/>
    <col min="8" max="8" width="7.54296875" bestFit="1" customWidth="1"/>
    <col min="9" max="9" width="10.08984375" bestFit="1" customWidth="1"/>
    <col min="10" max="10" width="31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39</v>
      </c>
    </row>
    <row r="2" spans="1:10" x14ac:dyDescent="0.35">
      <c r="A2" s="2">
        <v>101</v>
      </c>
      <c r="B2" s="2" t="s">
        <v>9</v>
      </c>
      <c r="C2" s="2">
        <v>20</v>
      </c>
      <c r="D2" s="2" t="s">
        <v>10</v>
      </c>
      <c r="E2" s="2">
        <v>3.8</v>
      </c>
      <c r="F2" s="2" t="s">
        <v>11</v>
      </c>
      <c r="G2" s="2" t="s">
        <v>11</v>
      </c>
      <c r="H2" s="2" t="s">
        <v>11</v>
      </c>
      <c r="I2" s="2" t="s">
        <v>12</v>
      </c>
      <c r="J2" s="4" t="str">
        <f t="shared" ref="J2:J9" si="0">IF(AND(H2="Yes",NOT(I2&lt;"85%")),"Found","Not Found")</f>
        <v>Found</v>
      </c>
    </row>
    <row r="3" spans="1:10" x14ac:dyDescent="0.35">
      <c r="A3" s="2">
        <v>102</v>
      </c>
      <c r="B3" s="2" t="s">
        <v>13</v>
      </c>
      <c r="C3" s="2">
        <v>21</v>
      </c>
      <c r="D3" s="2" t="s">
        <v>14</v>
      </c>
      <c r="E3" s="2">
        <v>2.9</v>
      </c>
      <c r="F3" s="2" t="s">
        <v>15</v>
      </c>
      <c r="G3" s="2" t="s">
        <v>11</v>
      </c>
      <c r="H3" s="2" t="s">
        <v>15</v>
      </c>
      <c r="I3" s="2" t="s">
        <v>16</v>
      </c>
      <c r="J3" s="2" t="str">
        <f t="shared" si="0"/>
        <v>Not Found</v>
      </c>
    </row>
    <row r="4" spans="1:10" x14ac:dyDescent="0.35">
      <c r="A4" s="2">
        <v>103</v>
      </c>
      <c r="B4" s="2" t="s">
        <v>17</v>
      </c>
      <c r="C4" s="2">
        <v>19</v>
      </c>
      <c r="D4" s="2" t="s">
        <v>18</v>
      </c>
      <c r="E4" s="2">
        <v>3.5</v>
      </c>
      <c r="F4" s="2" t="s">
        <v>11</v>
      </c>
      <c r="G4" s="2" t="s">
        <v>11</v>
      </c>
      <c r="H4" s="2" t="s">
        <v>11</v>
      </c>
      <c r="I4" s="2" t="s">
        <v>19</v>
      </c>
      <c r="J4" s="2" t="str">
        <f t="shared" si="0"/>
        <v>Found</v>
      </c>
    </row>
    <row r="5" spans="1:10" x14ac:dyDescent="0.35">
      <c r="A5" s="2">
        <v>104</v>
      </c>
      <c r="B5" s="2" t="s">
        <v>20</v>
      </c>
      <c r="C5" s="2">
        <v>22</v>
      </c>
      <c r="D5" s="2" t="s">
        <v>21</v>
      </c>
      <c r="E5" s="2">
        <v>3.2</v>
      </c>
      <c r="F5" s="2" t="s">
        <v>11</v>
      </c>
      <c r="G5" s="2" t="s">
        <v>15</v>
      </c>
      <c r="H5" s="2" t="s">
        <v>15</v>
      </c>
      <c r="I5" s="2" t="s">
        <v>22</v>
      </c>
      <c r="J5" s="2" t="str">
        <f t="shared" si="0"/>
        <v>Not Found</v>
      </c>
    </row>
    <row r="6" spans="1:10" x14ac:dyDescent="0.35">
      <c r="A6" s="2">
        <v>105</v>
      </c>
      <c r="B6" s="2" t="s">
        <v>23</v>
      </c>
      <c r="C6" s="2">
        <v>20</v>
      </c>
      <c r="D6" s="2" t="s">
        <v>24</v>
      </c>
      <c r="E6" s="2">
        <v>3.9</v>
      </c>
      <c r="F6" s="2" t="s">
        <v>11</v>
      </c>
      <c r="G6" s="2" t="s">
        <v>11</v>
      </c>
      <c r="H6" s="2" t="s">
        <v>11</v>
      </c>
      <c r="I6" s="2" t="s">
        <v>25</v>
      </c>
      <c r="J6" s="2" t="str">
        <f t="shared" si="0"/>
        <v>Found</v>
      </c>
    </row>
    <row r="7" spans="1:10" x14ac:dyDescent="0.35">
      <c r="A7" s="2">
        <v>106</v>
      </c>
      <c r="B7" s="2" t="s">
        <v>26</v>
      </c>
      <c r="C7" s="2">
        <v>21</v>
      </c>
      <c r="D7" s="2" t="s">
        <v>27</v>
      </c>
      <c r="E7" s="2">
        <v>2.5</v>
      </c>
      <c r="F7" s="2" t="s">
        <v>15</v>
      </c>
      <c r="G7" s="2" t="s">
        <v>15</v>
      </c>
      <c r="H7" s="2" t="s">
        <v>15</v>
      </c>
      <c r="I7" s="2" t="s">
        <v>28</v>
      </c>
      <c r="J7" s="2" t="str">
        <f t="shared" si="0"/>
        <v>Not Found</v>
      </c>
    </row>
    <row r="8" spans="1:10" x14ac:dyDescent="0.35">
      <c r="A8" s="2">
        <v>107</v>
      </c>
      <c r="B8" s="2" t="s">
        <v>29</v>
      </c>
      <c r="C8" s="2">
        <v>19</v>
      </c>
      <c r="D8" s="2" t="s">
        <v>30</v>
      </c>
      <c r="E8" s="2">
        <v>3.6</v>
      </c>
      <c r="F8" s="2" t="s">
        <v>11</v>
      </c>
      <c r="G8" s="2" t="s">
        <v>11</v>
      </c>
      <c r="H8" s="2" t="s">
        <v>11</v>
      </c>
      <c r="I8" s="2" t="s">
        <v>31</v>
      </c>
      <c r="J8" s="2" t="str">
        <f t="shared" si="0"/>
        <v>Found</v>
      </c>
    </row>
    <row r="9" spans="1:10" x14ac:dyDescent="0.35">
      <c r="A9" s="3">
        <v>108</v>
      </c>
      <c r="B9" s="3" t="s">
        <v>32</v>
      </c>
      <c r="C9" s="3">
        <v>23</v>
      </c>
      <c r="D9" s="3" t="s">
        <v>33</v>
      </c>
      <c r="E9" s="3">
        <v>3.1</v>
      </c>
      <c r="F9" s="3" t="s">
        <v>11</v>
      </c>
      <c r="G9" s="3" t="s">
        <v>15</v>
      </c>
      <c r="H9" s="3" t="s">
        <v>15</v>
      </c>
      <c r="I9" s="3" t="s">
        <v>34</v>
      </c>
      <c r="J9" s="3" t="str">
        <f t="shared" si="0"/>
        <v>Not Found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5A60-35DA-4DB9-B1B3-5A1252A3178B}">
  <dimension ref="A1:J9"/>
  <sheetViews>
    <sheetView showFormulas="1" zoomScale="76" zoomScaleNormal="80" workbookViewId="0">
      <selection activeCell="J11" sqref="J11"/>
    </sheetView>
  </sheetViews>
  <sheetFormatPr defaultRowHeight="14.5" x14ac:dyDescent="0.35"/>
  <cols>
    <col min="1" max="1" width="7" bestFit="1" customWidth="1"/>
    <col min="2" max="2" width="5.1796875" bestFit="1" customWidth="1"/>
    <col min="3" max="3" width="4.26953125" bestFit="1" customWidth="1"/>
    <col min="4" max="4" width="8" bestFit="1" customWidth="1"/>
    <col min="5" max="5" width="4.54296875" bestFit="1" customWidth="1"/>
    <col min="6" max="6" width="8.453125" bestFit="1" customWidth="1"/>
    <col min="7" max="7" width="9.08984375" bestFit="1" customWidth="1"/>
    <col min="8" max="8" width="7.54296875" bestFit="1" customWidth="1"/>
    <col min="9" max="9" width="10.08984375" bestFit="1" customWidth="1"/>
    <col min="10" max="10" width="32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40</v>
      </c>
    </row>
    <row r="2" spans="1:10" x14ac:dyDescent="0.35">
      <c r="A2" s="2">
        <v>101</v>
      </c>
      <c r="B2" s="2" t="s">
        <v>9</v>
      </c>
      <c r="C2" s="2">
        <v>20</v>
      </c>
      <c r="D2" s="2" t="s">
        <v>10</v>
      </c>
      <c r="E2" s="2">
        <v>3.8</v>
      </c>
      <c r="F2" s="2" t="s">
        <v>11</v>
      </c>
      <c r="G2" s="2" t="s">
        <v>11</v>
      </c>
      <c r="H2" s="2" t="s">
        <v>11</v>
      </c>
      <c r="I2" s="2" t="s">
        <v>12</v>
      </c>
      <c r="J2" s="4" t="str">
        <f t="shared" ref="J2:J9" si="0">IF(OR(AND(F2="Yes",E2&lt;3.5),AND(F2="No",E2&gt;=3.5)),"Found","Not Found")</f>
        <v>Not Found</v>
      </c>
    </row>
    <row r="3" spans="1:10" x14ac:dyDescent="0.35">
      <c r="A3" s="2">
        <v>102</v>
      </c>
      <c r="B3" s="2" t="s">
        <v>13</v>
      </c>
      <c r="C3" s="2">
        <v>21</v>
      </c>
      <c r="D3" s="2" t="s">
        <v>14</v>
      </c>
      <c r="E3" s="2">
        <v>2.9</v>
      </c>
      <c r="F3" s="2" t="s">
        <v>15</v>
      </c>
      <c r="G3" s="2" t="s">
        <v>11</v>
      </c>
      <c r="H3" s="2" t="s">
        <v>15</v>
      </c>
      <c r="I3" s="2" t="s">
        <v>16</v>
      </c>
      <c r="J3" s="2" t="str">
        <f t="shared" si="0"/>
        <v>Not Found</v>
      </c>
    </row>
    <row r="4" spans="1:10" x14ac:dyDescent="0.35">
      <c r="A4" s="2">
        <v>103</v>
      </c>
      <c r="B4" s="2" t="s">
        <v>17</v>
      </c>
      <c r="C4" s="2">
        <v>19</v>
      </c>
      <c r="D4" s="2" t="s">
        <v>18</v>
      </c>
      <c r="E4" s="2">
        <v>3.5</v>
      </c>
      <c r="F4" s="2" t="s">
        <v>11</v>
      </c>
      <c r="G4" s="2" t="s">
        <v>11</v>
      </c>
      <c r="H4" s="2" t="s">
        <v>11</v>
      </c>
      <c r="I4" s="2" t="s">
        <v>19</v>
      </c>
      <c r="J4" s="2" t="str">
        <f t="shared" si="0"/>
        <v>Not Found</v>
      </c>
    </row>
    <row r="5" spans="1:10" x14ac:dyDescent="0.35">
      <c r="A5" s="2">
        <v>104</v>
      </c>
      <c r="B5" s="2" t="s">
        <v>20</v>
      </c>
      <c r="C5" s="2">
        <v>22</v>
      </c>
      <c r="D5" s="2" t="s">
        <v>21</v>
      </c>
      <c r="E5" s="2">
        <v>3.2</v>
      </c>
      <c r="F5" s="2" t="s">
        <v>11</v>
      </c>
      <c r="G5" s="2" t="s">
        <v>15</v>
      </c>
      <c r="H5" s="2" t="s">
        <v>15</v>
      </c>
      <c r="I5" s="2" t="s">
        <v>22</v>
      </c>
      <c r="J5" s="2" t="str">
        <f t="shared" si="0"/>
        <v>Found</v>
      </c>
    </row>
    <row r="6" spans="1:10" x14ac:dyDescent="0.35">
      <c r="A6" s="2">
        <v>105</v>
      </c>
      <c r="B6" s="2" t="s">
        <v>23</v>
      </c>
      <c r="C6" s="2">
        <v>20</v>
      </c>
      <c r="D6" s="2" t="s">
        <v>24</v>
      </c>
      <c r="E6" s="2">
        <v>3.9</v>
      </c>
      <c r="F6" s="2" t="s">
        <v>11</v>
      </c>
      <c r="G6" s="2" t="s">
        <v>11</v>
      </c>
      <c r="H6" s="2" t="s">
        <v>11</v>
      </c>
      <c r="I6" s="2" t="s">
        <v>25</v>
      </c>
      <c r="J6" s="2" t="str">
        <f t="shared" si="0"/>
        <v>Not Found</v>
      </c>
    </row>
    <row r="7" spans="1:10" x14ac:dyDescent="0.35">
      <c r="A7" s="2">
        <v>106</v>
      </c>
      <c r="B7" s="2" t="s">
        <v>26</v>
      </c>
      <c r="C7" s="2">
        <v>21</v>
      </c>
      <c r="D7" s="2" t="s">
        <v>27</v>
      </c>
      <c r="E7" s="2">
        <v>2.5</v>
      </c>
      <c r="F7" s="2" t="s">
        <v>15</v>
      </c>
      <c r="G7" s="2" t="s">
        <v>15</v>
      </c>
      <c r="H7" s="2" t="s">
        <v>15</v>
      </c>
      <c r="I7" s="2" t="s">
        <v>28</v>
      </c>
      <c r="J7" s="2" t="str">
        <f t="shared" si="0"/>
        <v>Not Found</v>
      </c>
    </row>
    <row r="8" spans="1:10" x14ac:dyDescent="0.35">
      <c r="A8" s="2">
        <v>107</v>
      </c>
      <c r="B8" s="2" t="s">
        <v>29</v>
      </c>
      <c r="C8" s="2">
        <v>19</v>
      </c>
      <c r="D8" s="2" t="s">
        <v>30</v>
      </c>
      <c r="E8" s="2">
        <v>3.6</v>
      </c>
      <c r="F8" s="2" t="s">
        <v>11</v>
      </c>
      <c r="G8" s="2" t="s">
        <v>11</v>
      </c>
      <c r="H8" s="2" t="s">
        <v>11</v>
      </c>
      <c r="I8" s="2" t="s">
        <v>31</v>
      </c>
      <c r="J8" s="2" t="str">
        <f t="shared" si="0"/>
        <v>Not Found</v>
      </c>
    </row>
    <row r="9" spans="1:10" x14ac:dyDescent="0.35">
      <c r="A9" s="3">
        <v>108</v>
      </c>
      <c r="B9" s="3" t="s">
        <v>32</v>
      </c>
      <c r="C9" s="3">
        <v>23</v>
      </c>
      <c r="D9" s="3" t="s">
        <v>33</v>
      </c>
      <c r="E9" s="3">
        <v>3.1</v>
      </c>
      <c r="F9" s="3" t="s">
        <v>11</v>
      </c>
      <c r="G9" s="3" t="s">
        <v>15</v>
      </c>
      <c r="H9" s="3" t="s">
        <v>15</v>
      </c>
      <c r="I9" s="3" t="s">
        <v>34</v>
      </c>
      <c r="J9" s="3" t="str">
        <f t="shared" si="0"/>
        <v>Found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8724-5E29-452F-A7D0-5B278883EF54}">
  <dimension ref="A1:J9"/>
  <sheetViews>
    <sheetView showFormulas="1" zoomScale="90" zoomScaleNormal="90" workbookViewId="0">
      <selection activeCell="I13" sqref="I13"/>
    </sheetView>
  </sheetViews>
  <sheetFormatPr defaultRowHeight="14.5" x14ac:dyDescent="0.35"/>
  <cols>
    <col min="1" max="1" width="7" bestFit="1" customWidth="1"/>
    <col min="2" max="2" width="5.1796875" bestFit="1" customWidth="1"/>
    <col min="3" max="3" width="4.26953125" bestFit="1" customWidth="1"/>
    <col min="4" max="4" width="8" bestFit="1" customWidth="1"/>
    <col min="5" max="5" width="4.54296875" bestFit="1" customWidth="1"/>
    <col min="6" max="6" width="8.453125" bestFit="1" customWidth="1"/>
    <col min="7" max="7" width="9.08984375" bestFit="1" customWidth="1"/>
    <col min="8" max="8" width="7.54296875" bestFit="1" customWidth="1"/>
    <col min="9" max="9" width="10.08984375" bestFit="1" customWidth="1"/>
    <col min="10" max="10" width="28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41</v>
      </c>
    </row>
    <row r="2" spans="1:10" x14ac:dyDescent="0.35">
      <c r="A2" s="2">
        <v>101</v>
      </c>
      <c r="B2" s="2" t="s">
        <v>9</v>
      </c>
      <c r="C2" s="2">
        <v>20</v>
      </c>
      <c r="D2" s="2" t="s">
        <v>10</v>
      </c>
      <c r="E2" s="2">
        <v>3.8</v>
      </c>
      <c r="F2" s="2" t="s">
        <v>11</v>
      </c>
      <c r="G2" s="2" t="s">
        <v>11</v>
      </c>
      <c r="H2" s="2" t="s">
        <v>11</v>
      </c>
      <c r="I2" s="2" t="s">
        <v>12</v>
      </c>
      <c r="J2" s="4" t="str">
        <f>IF(NOT(AND(F2="No",G2="No")),"Not Found","Found")</f>
        <v>Not Found</v>
      </c>
    </row>
    <row r="3" spans="1:10" x14ac:dyDescent="0.35">
      <c r="A3" s="2">
        <v>102</v>
      </c>
      <c r="B3" s="2" t="s">
        <v>13</v>
      </c>
      <c r="C3" s="2">
        <v>21</v>
      </c>
      <c r="D3" s="2" t="s">
        <v>14</v>
      </c>
      <c r="E3" s="2">
        <v>2.9</v>
      </c>
      <c r="F3" s="2" t="s">
        <v>15</v>
      </c>
      <c r="G3" s="2" t="s">
        <v>11</v>
      </c>
      <c r="H3" s="2" t="s">
        <v>15</v>
      </c>
      <c r="I3" s="2" t="s">
        <v>16</v>
      </c>
      <c r="J3" s="2" t="str">
        <f t="shared" ref="J3:J9" si="0">IF(NOT(AND(F3="No",G3="No")),"Not Found","Found")</f>
        <v>Not Found</v>
      </c>
    </row>
    <row r="4" spans="1:10" x14ac:dyDescent="0.35">
      <c r="A4" s="2">
        <v>103</v>
      </c>
      <c r="B4" s="2" t="s">
        <v>17</v>
      </c>
      <c r="C4" s="2">
        <v>19</v>
      </c>
      <c r="D4" s="2" t="s">
        <v>18</v>
      </c>
      <c r="E4" s="2">
        <v>3.5</v>
      </c>
      <c r="F4" s="2" t="s">
        <v>11</v>
      </c>
      <c r="G4" s="2" t="s">
        <v>11</v>
      </c>
      <c r="H4" s="2" t="s">
        <v>11</v>
      </c>
      <c r="I4" s="2" t="s">
        <v>19</v>
      </c>
      <c r="J4" s="2" t="str">
        <f t="shared" si="0"/>
        <v>Not Found</v>
      </c>
    </row>
    <row r="5" spans="1:10" x14ac:dyDescent="0.35">
      <c r="A5" s="2">
        <v>104</v>
      </c>
      <c r="B5" s="2" t="s">
        <v>20</v>
      </c>
      <c r="C5" s="2">
        <v>22</v>
      </c>
      <c r="D5" s="2" t="s">
        <v>21</v>
      </c>
      <c r="E5" s="2">
        <v>3.2</v>
      </c>
      <c r="F5" s="2" t="s">
        <v>11</v>
      </c>
      <c r="G5" s="2" t="s">
        <v>15</v>
      </c>
      <c r="H5" s="2" t="s">
        <v>15</v>
      </c>
      <c r="I5" s="2" t="s">
        <v>22</v>
      </c>
      <c r="J5" s="2" t="str">
        <f t="shared" si="0"/>
        <v>Not Found</v>
      </c>
    </row>
    <row r="6" spans="1:10" x14ac:dyDescent="0.35">
      <c r="A6" s="2">
        <v>105</v>
      </c>
      <c r="B6" s="2" t="s">
        <v>23</v>
      </c>
      <c r="C6" s="2">
        <v>20</v>
      </c>
      <c r="D6" s="2" t="s">
        <v>24</v>
      </c>
      <c r="E6" s="2">
        <v>3.9</v>
      </c>
      <c r="F6" s="2" t="s">
        <v>11</v>
      </c>
      <c r="G6" s="2" t="s">
        <v>11</v>
      </c>
      <c r="H6" s="2" t="s">
        <v>11</v>
      </c>
      <c r="I6" s="2" t="s">
        <v>25</v>
      </c>
      <c r="J6" s="2" t="str">
        <f t="shared" si="0"/>
        <v>Not Found</v>
      </c>
    </row>
    <row r="7" spans="1:10" x14ac:dyDescent="0.35">
      <c r="A7" s="2">
        <v>106</v>
      </c>
      <c r="B7" s="2" t="s">
        <v>26</v>
      </c>
      <c r="C7" s="2">
        <v>21</v>
      </c>
      <c r="D7" s="2" t="s">
        <v>27</v>
      </c>
      <c r="E7" s="2">
        <v>2.5</v>
      </c>
      <c r="F7" s="2" t="s">
        <v>15</v>
      </c>
      <c r="G7" s="2" t="s">
        <v>15</v>
      </c>
      <c r="H7" s="2" t="s">
        <v>15</v>
      </c>
      <c r="I7" s="2" t="s">
        <v>28</v>
      </c>
      <c r="J7" s="2" t="str">
        <f t="shared" si="0"/>
        <v>Found</v>
      </c>
    </row>
    <row r="8" spans="1:10" x14ac:dyDescent="0.35">
      <c r="A8" s="2">
        <v>107</v>
      </c>
      <c r="B8" s="2" t="s">
        <v>29</v>
      </c>
      <c r="C8" s="2">
        <v>19</v>
      </c>
      <c r="D8" s="2" t="s">
        <v>30</v>
      </c>
      <c r="E8" s="2">
        <v>3.6</v>
      </c>
      <c r="F8" s="2" t="s">
        <v>11</v>
      </c>
      <c r="G8" s="2" t="s">
        <v>11</v>
      </c>
      <c r="H8" s="2" t="s">
        <v>11</v>
      </c>
      <c r="I8" s="2" t="s">
        <v>31</v>
      </c>
      <c r="J8" s="2" t="str">
        <f t="shared" si="0"/>
        <v>Not Found</v>
      </c>
    </row>
    <row r="9" spans="1:10" x14ac:dyDescent="0.35">
      <c r="A9" s="3">
        <v>108</v>
      </c>
      <c r="B9" s="3" t="s">
        <v>32</v>
      </c>
      <c r="C9" s="3">
        <v>23</v>
      </c>
      <c r="D9" s="3" t="s">
        <v>33</v>
      </c>
      <c r="E9" s="3">
        <v>3.1</v>
      </c>
      <c r="F9" s="3" t="s">
        <v>11</v>
      </c>
      <c r="G9" s="3" t="s">
        <v>15</v>
      </c>
      <c r="H9" s="3" t="s">
        <v>15</v>
      </c>
      <c r="I9" s="3" t="s">
        <v>34</v>
      </c>
      <c r="J9" s="3" t="str">
        <f t="shared" si="0"/>
        <v>Not Found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327E-5756-41EA-8F30-87B54A2F045A}">
  <dimension ref="A1:J9"/>
  <sheetViews>
    <sheetView showFormulas="1" zoomScale="90" zoomScaleNormal="90" workbookViewId="0">
      <selection activeCell="I20" sqref="I20"/>
    </sheetView>
  </sheetViews>
  <sheetFormatPr defaultRowHeight="14.5" x14ac:dyDescent="0.35"/>
  <cols>
    <col min="1" max="1" width="7" bestFit="1" customWidth="1"/>
    <col min="2" max="2" width="5.1796875" bestFit="1" customWidth="1"/>
    <col min="3" max="3" width="4.26953125" bestFit="1" customWidth="1"/>
    <col min="4" max="4" width="8" bestFit="1" customWidth="1"/>
    <col min="5" max="5" width="4.54296875" bestFit="1" customWidth="1"/>
    <col min="6" max="6" width="8.453125" bestFit="1" customWidth="1"/>
    <col min="7" max="7" width="9.08984375" bestFit="1" customWidth="1"/>
    <col min="8" max="8" width="7.54296875" bestFit="1" customWidth="1"/>
    <col min="9" max="9" width="10.08984375" bestFit="1" customWidth="1"/>
    <col min="10" max="10" width="23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42</v>
      </c>
    </row>
    <row r="2" spans="1:10" x14ac:dyDescent="0.35">
      <c r="A2" s="2">
        <v>101</v>
      </c>
      <c r="B2" s="2" t="s">
        <v>9</v>
      </c>
      <c r="C2" s="2">
        <v>20</v>
      </c>
      <c r="D2" s="2" t="s">
        <v>10</v>
      </c>
      <c r="E2" s="2">
        <v>3.8</v>
      </c>
      <c r="F2" s="2" t="s">
        <v>11</v>
      </c>
      <c r="G2" s="2" t="s">
        <v>11</v>
      </c>
      <c r="H2" s="2" t="s">
        <v>11</v>
      </c>
      <c r="I2" s="2" t="s">
        <v>12</v>
      </c>
      <c r="J2" s="4" t="str">
        <f t="shared" ref="J2:J9" si="0">IF(AND(C2&lt;=20,NOT(E2&lt;3.5)),"Found","Not Found")</f>
        <v>Found</v>
      </c>
    </row>
    <row r="3" spans="1:10" x14ac:dyDescent="0.35">
      <c r="A3" s="2">
        <v>102</v>
      </c>
      <c r="B3" s="2" t="s">
        <v>13</v>
      </c>
      <c r="C3" s="2">
        <v>21</v>
      </c>
      <c r="D3" s="2" t="s">
        <v>14</v>
      </c>
      <c r="E3" s="2">
        <v>2.9</v>
      </c>
      <c r="F3" s="2" t="s">
        <v>15</v>
      </c>
      <c r="G3" s="2" t="s">
        <v>11</v>
      </c>
      <c r="H3" s="2" t="s">
        <v>15</v>
      </c>
      <c r="I3" s="2" t="s">
        <v>16</v>
      </c>
      <c r="J3" s="2" t="str">
        <f t="shared" si="0"/>
        <v>Not Found</v>
      </c>
    </row>
    <row r="4" spans="1:10" x14ac:dyDescent="0.35">
      <c r="A4" s="2">
        <v>103</v>
      </c>
      <c r="B4" s="2" t="s">
        <v>17</v>
      </c>
      <c r="C4" s="2">
        <v>19</v>
      </c>
      <c r="D4" s="2" t="s">
        <v>18</v>
      </c>
      <c r="E4" s="2">
        <v>3.5</v>
      </c>
      <c r="F4" s="2" t="s">
        <v>11</v>
      </c>
      <c r="G4" s="2" t="s">
        <v>11</v>
      </c>
      <c r="H4" s="2" t="s">
        <v>11</v>
      </c>
      <c r="I4" s="2" t="s">
        <v>19</v>
      </c>
      <c r="J4" s="2" t="str">
        <f t="shared" si="0"/>
        <v>Found</v>
      </c>
    </row>
    <row r="5" spans="1:10" x14ac:dyDescent="0.35">
      <c r="A5" s="2">
        <v>104</v>
      </c>
      <c r="B5" s="2" t="s">
        <v>20</v>
      </c>
      <c r="C5" s="2">
        <v>22</v>
      </c>
      <c r="D5" s="2" t="s">
        <v>21</v>
      </c>
      <c r="E5" s="2">
        <v>3.2</v>
      </c>
      <c r="F5" s="2" t="s">
        <v>11</v>
      </c>
      <c r="G5" s="2" t="s">
        <v>15</v>
      </c>
      <c r="H5" s="2" t="s">
        <v>15</v>
      </c>
      <c r="I5" s="2" t="s">
        <v>22</v>
      </c>
      <c r="J5" s="2" t="str">
        <f t="shared" si="0"/>
        <v>Not Found</v>
      </c>
    </row>
    <row r="6" spans="1:10" x14ac:dyDescent="0.35">
      <c r="A6" s="2">
        <v>105</v>
      </c>
      <c r="B6" s="2" t="s">
        <v>23</v>
      </c>
      <c r="C6" s="2">
        <v>20</v>
      </c>
      <c r="D6" s="2" t="s">
        <v>24</v>
      </c>
      <c r="E6" s="2">
        <v>3.9</v>
      </c>
      <c r="F6" s="2" t="s">
        <v>11</v>
      </c>
      <c r="G6" s="2" t="s">
        <v>11</v>
      </c>
      <c r="H6" s="2" t="s">
        <v>11</v>
      </c>
      <c r="I6" s="2" t="s">
        <v>25</v>
      </c>
      <c r="J6" s="2" t="str">
        <f t="shared" si="0"/>
        <v>Found</v>
      </c>
    </row>
    <row r="7" spans="1:10" x14ac:dyDescent="0.35">
      <c r="A7" s="2">
        <v>106</v>
      </c>
      <c r="B7" s="2" t="s">
        <v>26</v>
      </c>
      <c r="C7" s="2">
        <v>21</v>
      </c>
      <c r="D7" s="2" t="s">
        <v>27</v>
      </c>
      <c r="E7" s="2">
        <v>2.5</v>
      </c>
      <c r="F7" s="2" t="s">
        <v>15</v>
      </c>
      <c r="G7" s="2" t="s">
        <v>15</v>
      </c>
      <c r="H7" s="2" t="s">
        <v>15</v>
      </c>
      <c r="I7" s="2" t="s">
        <v>28</v>
      </c>
      <c r="J7" s="2" t="str">
        <f t="shared" si="0"/>
        <v>Not Found</v>
      </c>
    </row>
    <row r="8" spans="1:10" x14ac:dyDescent="0.35">
      <c r="A8" s="2">
        <v>107</v>
      </c>
      <c r="B8" s="2" t="s">
        <v>29</v>
      </c>
      <c r="C8" s="2">
        <v>19</v>
      </c>
      <c r="D8" s="2" t="s">
        <v>30</v>
      </c>
      <c r="E8" s="2">
        <v>3.6</v>
      </c>
      <c r="F8" s="2" t="s">
        <v>11</v>
      </c>
      <c r="G8" s="2" t="s">
        <v>11</v>
      </c>
      <c r="H8" s="2" t="s">
        <v>11</v>
      </c>
      <c r="I8" s="2" t="s">
        <v>31</v>
      </c>
      <c r="J8" s="2" t="str">
        <f t="shared" si="0"/>
        <v>Found</v>
      </c>
    </row>
    <row r="9" spans="1:10" x14ac:dyDescent="0.35">
      <c r="A9" s="3">
        <v>108</v>
      </c>
      <c r="B9" s="3" t="s">
        <v>32</v>
      </c>
      <c r="C9" s="3">
        <v>23</v>
      </c>
      <c r="D9" s="3" t="s">
        <v>33</v>
      </c>
      <c r="E9" s="3">
        <v>3.1</v>
      </c>
      <c r="F9" s="3" t="s">
        <v>11</v>
      </c>
      <c r="G9" s="3" t="s">
        <v>15</v>
      </c>
      <c r="H9" s="3" t="s">
        <v>15</v>
      </c>
      <c r="I9" s="3" t="s">
        <v>34</v>
      </c>
      <c r="J9" s="3" t="str">
        <f t="shared" si="0"/>
        <v>Not Found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1715-B21B-40CF-B77C-085B3490F6F0}">
  <dimension ref="A1:J9"/>
  <sheetViews>
    <sheetView showFormulas="1" zoomScale="80" zoomScaleNormal="80" workbookViewId="0">
      <selection activeCell="C13" sqref="C13"/>
    </sheetView>
  </sheetViews>
  <sheetFormatPr defaultRowHeight="14.5" x14ac:dyDescent="0.35"/>
  <cols>
    <col min="1" max="1" width="7" bestFit="1" customWidth="1"/>
    <col min="2" max="2" width="6" bestFit="1" customWidth="1"/>
    <col min="3" max="3" width="4.26953125" bestFit="1" customWidth="1"/>
    <col min="4" max="4" width="8" bestFit="1" customWidth="1"/>
    <col min="5" max="5" width="4.54296875" bestFit="1" customWidth="1"/>
    <col min="6" max="6" width="8.453125" bestFit="1" customWidth="1"/>
    <col min="7" max="7" width="9.08984375" bestFit="1" customWidth="1"/>
    <col min="8" max="8" width="7.54296875" bestFit="1" customWidth="1"/>
    <col min="9" max="9" width="10.08984375" bestFit="1" customWidth="1"/>
    <col min="10" max="10" width="39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43</v>
      </c>
    </row>
    <row r="2" spans="1:10" x14ac:dyDescent="0.35">
      <c r="A2" s="2">
        <v>101</v>
      </c>
      <c r="B2" s="2" t="s">
        <v>9</v>
      </c>
      <c r="C2" s="2">
        <v>20</v>
      </c>
      <c r="D2" s="2" t="s">
        <v>10</v>
      </c>
      <c r="E2" s="2">
        <v>3.8</v>
      </c>
      <c r="F2" s="2" t="s">
        <v>11</v>
      </c>
      <c r="G2" s="2" t="s">
        <v>11</v>
      </c>
      <c r="H2" s="2" t="s">
        <v>11</v>
      </c>
      <c r="I2" s="2" t="s">
        <v>12</v>
      </c>
      <c r="J2" s="4" t="str">
        <f t="shared" ref="J2:J9" si="0">IF(AND(OR(H2="Yes",AND(F2="Yes",G2="Yes")),NOT(I2&lt;"80%")),"Found","Not Found")</f>
        <v>Found</v>
      </c>
    </row>
    <row r="3" spans="1:10" x14ac:dyDescent="0.35">
      <c r="A3" s="2">
        <v>102</v>
      </c>
      <c r="B3" s="2" t="s">
        <v>13</v>
      </c>
      <c r="C3" s="2">
        <v>21</v>
      </c>
      <c r="D3" s="2" t="s">
        <v>14</v>
      </c>
      <c r="E3" s="2">
        <v>2.9</v>
      </c>
      <c r="F3" s="2" t="s">
        <v>15</v>
      </c>
      <c r="G3" s="2" t="s">
        <v>11</v>
      </c>
      <c r="H3" s="2" t="s">
        <v>15</v>
      </c>
      <c r="I3" s="2" t="s">
        <v>16</v>
      </c>
      <c r="J3" s="2" t="str">
        <f t="shared" si="0"/>
        <v>Not Found</v>
      </c>
    </row>
    <row r="4" spans="1:10" x14ac:dyDescent="0.35">
      <c r="A4" s="2">
        <v>103</v>
      </c>
      <c r="B4" s="2" t="s">
        <v>17</v>
      </c>
      <c r="C4" s="2">
        <v>19</v>
      </c>
      <c r="D4" s="2" t="s">
        <v>18</v>
      </c>
      <c r="E4" s="2">
        <v>3.5</v>
      </c>
      <c r="F4" s="2" t="s">
        <v>11</v>
      </c>
      <c r="G4" s="2" t="s">
        <v>11</v>
      </c>
      <c r="H4" s="2" t="s">
        <v>11</v>
      </c>
      <c r="I4" s="2" t="s">
        <v>19</v>
      </c>
      <c r="J4" s="2" t="str">
        <f t="shared" si="0"/>
        <v>Found</v>
      </c>
    </row>
    <row r="5" spans="1:10" x14ac:dyDescent="0.35">
      <c r="A5" s="2">
        <v>104</v>
      </c>
      <c r="B5" s="2" t="s">
        <v>20</v>
      </c>
      <c r="C5" s="2">
        <v>22</v>
      </c>
      <c r="D5" s="2" t="s">
        <v>21</v>
      </c>
      <c r="E5" s="2">
        <v>3.2</v>
      </c>
      <c r="F5" s="2" t="s">
        <v>11</v>
      </c>
      <c r="G5" s="2" t="s">
        <v>15</v>
      </c>
      <c r="H5" s="2" t="s">
        <v>15</v>
      </c>
      <c r="I5" s="2" t="s">
        <v>22</v>
      </c>
      <c r="J5" s="2" t="str">
        <f t="shared" si="0"/>
        <v>Not Found</v>
      </c>
    </row>
    <row r="6" spans="1:10" x14ac:dyDescent="0.35">
      <c r="A6" s="2">
        <v>105</v>
      </c>
      <c r="B6" s="2" t="s">
        <v>23</v>
      </c>
      <c r="C6" s="2">
        <v>20</v>
      </c>
      <c r="D6" s="2" t="s">
        <v>24</v>
      </c>
      <c r="E6" s="2">
        <v>3.9</v>
      </c>
      <c r="F6" s="2" t="s">
        <v>11</v>
      </c>
      <c r="G6" s="2" t="s">
        <v>11</v>
      </c>
      <c r="H6" s="2" t="s">
        <v>11</v>
      </c>
      <c r="I6" s="2" t="s">
        <v>25</v>
      </c>
      <c r="J6" s="2" t="str">
        <f t="shared" si="0"/>
        <v>Found</v>
      </c>
    </row>
    <row r="7" spans="1:10" x14ac:dyDescent="0.35">
      <c r="A7" s="2">
        <v>106</v>
      </c>
      <c r="B7" s="2" t="s">
        <v>26</v>
      </c>
      <c r="C7" s="2">
        <v>21</v>
      </c>
      <c r="D7" s="2" t="s">
        <v>27</v>
      </c>
      <c r="E7" s="2">
        <v>2.5</v>
      </c>
      <c r="F7" s="2" t="s">
        <v>15</v>
      </c>
      <c r="G7" s="2" t="s">
        <v>15</v>
      </c>
      <c r="H7" s="2" t="s">
        <v>15</v>
      </c>
      <c r="I7" s="2" t="s">
        <v>28</v>
      </c>
      <c r="J7" s="2" t="str">
        <f t="shared" si="0"/>
        <v>Not Found</v>
      </c>
    </row>
    <row r="8" spans="1:10" x14ac:dyDescent="0.35">
      <c r="A8" s="2">
        <v>107</v>
      </c>
      <c r="B8" s="2" t="s">
        <v>29</v>
      </c>
      <c r="C8" s="2">
        <v>19</v>
      </c>
      <c r="D8" s="2" t="s">
        <v>30</v>
      </c>
      <c r="E8" s="2">
        <v>3.6</v>
      </c>
      <c r="F8" s="2" t="s">
        <v>11</v>
      </c>
      <c r="G8" s="2" t="s">
        <v>11</v>
      </c>
      <c r="H8" s="2" t="s">
        <v>11</v>
      </c>
      <c r="I8" s="2" t="s">
        <v>31</v>
      </c>
      <c r="J8" s="2" t="str">
        <f t="shared" si="0"/>
        <v>Found</v>
      </c>
    </row>
    <row r="9" spans="1:10" x14ac:dyDescent="0.35">
      <c r="A9" s="3">
        <v>108</v>
      </c>
      <c r="B9" s="3" t="s">
        <v>32</v>
      </c>
      <c r="C9" s="3">
        <v>23</v>
      </c>
      <c r="D9" s="3" t="s">
        <v>33</v>
      </c>
      <c r="E9" s="3">
        <v>3.1</v>
      </c>
      <c r="F9" s="3" t="s">
        <v>11</v>
      </c>
      <c r="G9" s="3" t="s">
        <v>15</v>
      </c>
      <c r="H9" s="3" t="s">
        <v>15</v>
      </c>
      <c r="I9" s="3" t="s">
        <v>34</v>
      </c>
      <c r="J9" s="3" t="str">
        <f t="shared" si="0"/>
        <v>Not Found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198E-C876-4825-B297-CD7E287ABE12}">
  <dimension ref="A1:J9"/>
  <sheetViews>
    <sheetView showFormulas="1" zoomScale="75" zoomScaleNormal="75" workbookViewId="0">
      <selection activeCell="F21" sqref="F21"/>
    </sheetView>
  </sheetViews>
  <sheetFormatPr defaultRowHeight="14.5" x14ac:dyDescent="0.35"/>
  <cols>
    <col min="1" max="1" width="7" bestFit="1" customWidth="1"/>
    <col min="2" max="2" width="5.1796875" bestFit="1" customWidth="1"/>
    <col min="3" max="3" width="4.26953125" bestFit="1" customWidth="1"/>
    <col min="4" max="4" width="8" bestFit="1" customWidth="1"/>
    <col min="5" max="5" width="4.54296875" bestFit="1" customWidth="1"/>
    <col min="6" max="6" width="8.453125" bestFit="1" customWidth="1"/>
    <col min="7" max="7" width="9.08984375" bestFit="1" customWidth="1"/>
    <col min="8" max="8" width="7.54296875" bestFit="1" customWidth="1"/>
    <col min="9" max="9" width="10.08984375" bestFit="1" customWidth="1"/>
    <col min="10" max="10" width="43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44</v>
      </c>
    </row>
    <row r="2" spans="1:10" x14ac:dyDescent="0.35">
      <c r="A2" s="2">
        <v>101</v>
      </c>
      <c r="B2" s="2" t="s">
        <v>9</v>
      </c>
      <c r="C2" s="2">
        <v>20</v>
      </c>
      <c r="D2" s="2" t="s">
        <v>10</v>
      </c>
      <c r="E2" s="2">
        <v>3.8</v>
      </c>
      <c r="F2" s="2" t="s">
        <v>11</v>
      </c>
      <c r="G2" s="2" t="s">
        <v>11</v>
      </c>
      <c r="H2" s="2" t="s">
        <v>11</v>
      </c>
      <c r="I2" s="2" t="s">
        <v>12</v>
      </c>
      <c r="J2" s="4" t="str">
        <f t="shared" ref="J2:J9" si="0">IF(OR(AND(NOT(H2="Yes"),E2&lt;3),I2&lt;"70%"),"Found","Not Found")</f>
        <v>Not Found</v>
      </c>
    </row>
    <row r="3" spans="1:10" x14ac:dyDescent="0.35">
      <c r="A3" s="2">
        <v>102</v>
      </c>
      <c r="B3" s="2" t="s">
        <v>13</v>
      </c>
      <c r="C3" s="2">
        <v>21</v>
      </c>
      <c r="D3" s="2" t="s">
        <v>14</v>
      </c>
      <c r="E3" s="2">
        <v>2.9</v>
      </c>
      <c r="F3" s="2" t="s">
        <v>15</v>
      </c>
      <c r="G3" s="2" t="s">
        <v>11</v>
      </c>
      <c r="H3" s="2" t="s">
        <v>15</v>
      </c>
      <c r="I3" s="2" t="s">
        <v>16</v>
      </c>
      <c r="J3" s="2" t="str">
        <f t="shared" si="0"/>
        <v>Found</v>
      </c>
    </row>
    <row r="4" spans="1:10" x14ac:dyDescent="0.35">
      <c r="A4" s="2">
        <v>103</v>
      </c>
      <c r="B4" s="2" t="s">
        <v>17</v>
      </c>
      <c r="C4" s="2">
        <v>19</v>
      </c>
      <c r="D4" s="2" t="s">
        <v>18</v>
      </c>
      <c r="E4" s="2">
        <v>3.5</v>
      </c>
      <c r="F4" s="2" t="s">
        <v>11</v>
      </c>
      <c r="G4" s="2" t="s">
        <v>11</v>
      </c>
      <c r="H4" s="2" t="s">
        <v>11</v>
      </c>
      <c r="I4" s="2" t="s">
        <v>19</v>
      </c>
      <c r="J4" s="2" t="str">
        <f t="shared" si="0"/>
        <v>Not Found</v>
      </c>
    </row>
    <row r="5" spans="1:10" x14ac:dyDescent="0.35">
      <c r="A5" s="2">
        <v>104</v>
      </c>
      <c r="B5" s="2" t="s">
        <v>20</v>
      </c>
      <c r="C5" s="2">
        <v>22</v>
      </c>
      <c r="D5" s="2" t="s">
        <v>21</v>
      </c>
      <c r="E5" s="2">
        <v>3.2</v>
      </c>
      <c r="F5" s="2" t="s">
        <v>11</v>
      </c>
      <c r="G5" s="2" t="s">
        <v>15</v>
      </c>
      <c r="H5" s="2" t="s">
        <v>15</v>
      </c>
      <c r="I5" s="2" t="s">
        <v>22</v>
      </c>
      <c r="J5" s="2" t="str">
        <f t="shared" si="0"/>
        <v>Not Found</v>
      </c>
    </row>
    <row r="6" spans="1:10" x14ac:dyDescent="0.35">
      <c r="A6" s="2">
        <v>105</v>
      </c>
      <c r="B6" s="2" t="s">
        <v>23</v>
      </c>
      <c r="C6" s="2">
        <v>20</v>
      </c>
      <c r="D6" s="2" t="s">
        <v>24</v>
      </c>
      <c r="E6" s="2">
        <v>3.9</v>
      </c>
      <c r="F6" s="2" t="s">
        <v>11</v>
      </c>
      <c r="G6" s="2" t="s">
        <v>11</v>
      </c>
      <c r="H6" s="2" t="s">
        <v>11</v>
      </c>
      <c r="I6" s="2" t="s">
        <v>25</v>
      </c>
      <c r="J6" s="2" t="str">
        <f t="shared" si="0"/>
        <v>Not Found</v>
      </c>
    </row>
    <row r="7" spans="1:10" x14ac:dyDescent="0.35">
      <c r="A7" s="2">
        <v>106</v>
      </c>
      <c r="B7" s="2" t="s">
        <v>26</v>
      </c>
      <c r="C7" s="2">
        <v>21</v>
      </c>
      <c r="D7" s="2" t="s">
        <v>27</v>
      </c>
      <c r="E7" s="2">
        <v>2.5</v>
      </c>
      <c r="F7" s="2" t="s">
        <v>15</v>
      </c>
      <c r="G7" s="2" t="s">
        <v>15</v>
      </c>
      <c r="H7" s="2" t="s">
        <v>15</v>
      </c>
      <c r="I7" s="2" t="s">
        <v>28</v>
      </c>
      <c r="J7" s="2" t="str">
        <f t="shared" si="0"/>
        <v>Found</v>
      </c>
    </row>
    <row r="8" spans="1:10" x14ac:dyDescent="0.35">
      <c r="A8" s="2">
        <v>107</v>
      </c>
      <c r="B8" s="2" t="s">
        <v>29</v>
      </c>
      <c r="C8" s="2">
        <v>19</v>
      </c>
      <c r="D8" s="2" t="s">
        <v>30</v>
      </c>
      <c r="E8" s="2">
        <v>3.6</v>
      </c>
      <c r="F8" s="2" t="s">
        <v>11</v>
      </c>
      <c r="G8" s="2" t="s">
        <v>11</v>
      </c>
      <c r="H8" s="2" t="s">
        <v>11</v>
      </c>
      <c r="I8" s="2" t="s">
        <v>31</v>
      </c>
      <c r="J8" s="2" t="str">
        <f t="shared" si="0"/>
        <v>Not Found</v>
      </c>
    </row>
    <row r="9" spans="1:10" x14ac:dyDescent="0.35">
      <c r="A9" s="3">
        <v>108</v>
      </c>
      <c r="B9" s="3" t="s">
        <v>32</v>
      </c>
      <c r="C9" s="3">
        <v>23</v>
      </c>
      <c r="D9" s="3" t="s">
        <v>33</v>
      </c>
      <c r="E9" s="3">
        <v>3.1</v>
      </c>
      <c r="F9" s="3" t="s">
        <v>11</v>
      </c>
      <c r="G9" s="3" t="s">
        <v>15</v>
      </c>
      <c r="H9" s="3" t="s">
        <v>15</v>
      </c>
      <c r="I9" s="3" t="s">
        <v>34</v>
      </c>
      <c r="J9" s="3" t="str">
        <f t="shared" si="0"/>
        <v>Not Found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Student Records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Jambhale</cp:lastModifiedBy>
  <dcterms:created xsi:type="dcterms:W3CDTF">2026-09-21T05:58:13Z</dcterms:created>
  <dcterms:modified xsi:type="dcterms:W3CDTF">2026-09-22T10:16:35Z</dcterms:modified>
</cp:coreProperties>
</file>